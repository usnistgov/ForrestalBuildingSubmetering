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xmlns:mc="http://schemas.openxmlformats.org/markup-compatibility/2006">
    <mc:Choice Requires="x15">
      <x15ac:absPath xmlns:x15ac="http://schemas.microsoft.com/office/spreadsheetml/2010/11/ac" url="C:\Users\mjb1\Documents\Source\github\ForrestalBuildingSubmetering\"/>
    </mc:Choice>
  </mc:AlternateContent>
  <bookViews>
    <workbookView xWindow="525" yWindow="4935" windowWidth="27870" windowHeight="13620" activeTab="1"/>
  </bookViews>
  <sheets>
    <sheet name="Overview" sheetId="2" r:id="rId1"/>
    <sheet name="EUIGenerator" sheetId="1" r:id="rId2"/>
    <sheet name="DSTRuleCalculator" sheetId="3" r:id="rId3"/>
    <sheet name="Weighting1" sheetId="4" r:id="rId4"/>
    <sheet name="Sheet1" sheetId="5" r:id="rId5"/>
  </sheets>
  <definedNames>
    <definedName name="ACCUMULATION_BEHAVIOR">EUIGenerator!$A$25</definedName>
    <definedName name="ADDITIONAL_CHARGES">EUIGenerator!#REF!</definedName>
    <definedName name="BASE_COST">EUIGenerator!#REF!</definedName>
    <definedName name="BASE_COST_B">EUIGenerator!#REF!</definedName>
    <definedName name="BATCH_INDEX">EUIGenerator!$A$33</definedName>
    <definedName name="BLOCK_DURATION">EUIGenerator!$A$20</definedName>
    <definedName name="BULK_FILE_NAME">EUIGenerator!#REF!</definedName>
    <definedName name="COMMODITY">EUIGenerator!$A$26</definedName>
    <definedName name="CUSTOMER_TITLE">EUIGenerator!#REF!</definedName>
    <definedName name="CUSTOMER_URL">EUIGenerator!$A$39</definedName>
    <definedName name="DATA_QUALIFIER">EUIGenerator!$A$27</definedName>
    <definedName name="DISABLE_COST">EUIGenerator!$A$40</definedName>
    <definedName name="DO_RANDOMIZE">EUIGenerator!#REF!</definedName>
    <definedName name="DST_END_RULE">EUIGenerator!$A$17</definedName>
    <definedName name="DST_OFFSET">EUIGenerator!$A$15</definedName>
    <definedName name="DST_START_RULE">EUIGenerator!$A$16</definedName>
    <definedName name="DURATION_OF_LAST_BILLING_PERIOD">EUIGenerator!#REF!</definedName>
    <definedName name="END_OF_BILLING_PERIOD">EUIGenerator!#REF!</definedName>
    <definedName name="END_OF_SIMULATION">EUIGenerator!#REF!</definedName>
    <definedName name="EXTERNAL_DATA_FNAME">EUIGenerator!#REF!</definedName>
    <definedName name="FLOW_DIRECTION">EUIGenerator!$A$28</definedName>
    <definedName name="GENERATE_BULK_DATA">EUIGenerator!#REF!</definedName>
    <definedName name="INCLUDE_HEADER_COMMENT">EUIGenerator!$A$18</definedName>
    <definedName name="INCLUDE_IN_SIM">EUIGenerator!#REF!</definedName>
    <definedName name="INTERVAL_BLOCK_INDEX">EUIGenerator!$A$32</definedName>
    <definedName name="INTERVAL_DURATION">EUIGenerator!$A$19</definedName>
    <definedName name="KIND">EUIGenerator!$A$29</definedName>
    <definedName name="LOCAL_TIME_INDEX">EUIGenerator!$A$38</definedName>
    <definedName name="LOCAL_TIME_PARAMS_UUID">EUIGenerator!$A$9</definedName>
    <definedName name="METER_READING_INDEX">EUIGenerator!$A$34</definedName>
    <definedName name="METER_READING_TITLE">EUIGenerator!$A$12</definedName>
    <definedName name="METER_READING_UUID">EUIGenerator!$A$11</definedName>
    <definedName name="MeterReadingIndex">EUIGenerator!#REF!</definedName>
    <definedName name="NUMBER_BULK_ITERATIONS">EUIGenerator!#REF!</definedName>
    <definedName name="OUTPUT_FILENAME">EUIGenerator!#REF!</definedName>
    <definedName name="PHASE">EUIGenerator!$A$31</definedName>
    <definedName name="POWER_OF_TEN_MULTIPLIER">EUIGenerator!$A$22</definedName>
    <definedName name="POWER_OF_TEN_MULTIPLIER_B">EUIGenerator!#REF!</definedName>
    <definedName name="PUBLISH_DATE">EUIGenerator!$A$43</definedName>
    <definedName name="RANDOM_URN">EUIGenerator!$A$45</definedName>
    <definedName name="RAW_INTERVAL_DATA_MULTIPLIER">EUIGenerator!$A$5</definedName>
    <definedName name="READING_TYPE_INDEX">EUIGenerator!$A$35</definedName>
    <definedName name="READING_TYPE_UUID">EUIGenerator!$A$10</definedName>
    <definedName name="RUN_STATUS">EUIGenerator!$A$2</definedName>
    <definedName name="SERVICE_KIND">EUIGenerator!$A$23</definedName>
    <definedName name="SETTINGS_ID">EUIGenerator!$A$4</definedName>
    <definedName name="START_OF_BILLING_PERIOD">EUIGenerator!#REF!</definedName>
    <definedName name="START_OF_SIMULATION">EUIGenerator!#REF!</definedName>
    <definedName name="START_USAGE_WEEKDAY">EUIGenerator!#REF!</definedName>
    <definedName name="STRTOUX_IN">EUIGenerator!#REF!</definedName>
    <definedName name="STRTOUX_OUT">EUIGenerator!#REF!</definedName>
    <definedName name="TARIFF_MODEL">EUIGenerator!$A$41</definedName>
    <definedName name="TARIFF_MODEL_NAME">EUIGenerator!$A$42</definedName>
    <definedName name="TIME_ATTRIBUTE">EUIGenerator!$A$30</definedName>
    <definedName name="TIMZONE_OFFSET">EUIGenerator!$A$14</definedName>
    <definedName name="TIMZONE_TITLE">EUIGenerator!$A$13</definedName>
    <definedName name="TOTAL_BILL_LAST_BILLING_PERIOD">EUIGenerator!#REF!</definedName>
    <definedName name="TOTAL_COST_CURRENT_PERIOD">EUIGenerator!#REF!</definedName>
    <definedName name="TOTAL_COST_USAGE_BILLING_PERIOD">EUIGenerator!#REF!</definedName>
    <definedName name="TOTAL_USAGE_BILLING_PERIOD">EUIGenerator!#REF!</definedName>
    <definedName name="TOTAL_USAGE_CURRENT_PERIOD">EUIGenerator!#REF!</definedName>
    <definedName name="TYPICAL_USAGE">EUIGenerator!#REF!</definedName>
    <definedName name="TYPICAL_USAGE_A">EUIGenerator!#REF!</definedName>
    <definedName name="TYPICAL_USAGE_B">EUIGenerator!#REF!</definedName>
    <definedName name="UOM">EUIGenerator!$A$24</definedName>
    <definedName name="UPDATE_DATE">EUIGenerator!$A$44</definedName>
    <definedName name="USAGE_POINT_INDEX">EUIGenerator!$A$36</definedName>
    <definedName name="USAGE_POINT_TITLE">EUIGenerator!$A$7</definedName>
    <definedName name="USAGE_POINT_UUID">EUIGenerator!$A$8</definedName>
    <definedName name="USAGE_SUMMARY_INDEX">EUIGenerator!$A$37</definedName>
    <definedName name="UXTOSTR_IN">EUIGenerator!#REF!</definedName>
    <definedName name="UXTOSTR_OUT">EUIGenerator!#REF!</definedName>
    <definedName name="VARY_RETAIL_CUSTOMER_ID">EUIGenerator!#REF!</definedName>
    <definedName name="VARY_USAGEPOINT_ID">EUIGenerator!#REF!</definedName>
    <definedName name="WORKSHEET_FOR_WEIGHTING">EUIGenerator!#REF!</definedName>
  </definedNames>
  <calcPr calcId="152511" calcMode="manual"/>
</workbook>
</file>

<file path=xl/calcChain.xml><?xml version="1.0" encoding="utf-8"?>
<calcChain xmlns="http://schemas.openxmlformats.org/spreadsheetml/2006/main">
  <c r="U14" i="1" l="1"/>
  <c r="T14" i="1"/>
  <c r="S14" i="1"/>
  <c r="R14" i="1"/>
  <c r="Q14" i="1"/>
  <c r="P14" i="1"/>
  <c r="O14" i="1"/>
  <c r="N14" i="1"/>
  <c r="M14" i="1"/>
  <c r="K14" i="1"/>
  <c r="J14" i="1"/>
  <c r="I14" i="1"/>
  <c r="H14" i="1"/>
  <c r="G14" i="1"/>
  <c r="F14" i="1"/>
  <c r="E14" i="1"/>
  <c r="D14" i="1"/>
  <c r="C14" i="1"/>
  <c r="L14" i="1" l="1"/>
  <c r="C21" i="3" l="1"/>
  <c r="E22" i="3" l="1"/>
  <c r="E21" i="3"/>
  <c r="E44" i="4" l="1"/>
  <c r="D44" i="4"/>
  <c r="C44" i="4"/>
  <c r="B10" i="4" s="1"/>
  <c r="B44" i="4"/>
  <c r="B9" i="4" l="1"/>
  <c r="B11" i="4"/>
  <c r="B14"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alcChain>
</file>

<file path=xl/sharedStrings.xml><?xml version="1.0" encoding="utf-8"?>
<sst xmlns="http://schemas.openxmlformats.org/spreadsheetml/2006/main" count="504" uniqueCount="219">
  <si>
    <t>Weekday</t>
  </si>
  <si>
    <t>Weekend</t>
  </si>
  <si>
    <t>Total</t>
  </si>
  <si>
    <t>Cost</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</si>
  <si>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</si>
  <si>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</si>
  <si>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</si>
  <si>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</si>
  <si>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</si>
  <si>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</si>
  <si>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</si>
  <si>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</si>
  <si>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</si>
  <si>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</si>
  <si>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</si>
  <si>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</si>
  <si>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</si>
  <si>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</si>
  <si>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</si>
  <si>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</si>
  <si>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01</t>
  </si>
  <si>
    <t>07</t>
  </si>
  <si>
    <t>Batch Index</t>
  </si>
  <si>
    <t>83e269c1</t>
  </si>
  <si>
    <t>Interval Block Index</t>
  </si>
  <si>
    <t>Typical monthly usage (used for scaling)</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</si>
  <si>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</si>
  <si>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Include header comment</t>
  </si>
  <si>
    <t>Settings for external data</t>
  </si>
  <si>
    <t>Common settings</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</si>
  <si>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</si>
  <si>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</si>
  <si>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</si>
  <si>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</si>
  <si>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</si>
  <si>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</si>
  <si>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</si>
  <si>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</si>
  <si>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</si>
  <si>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</si>
  <si>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</si>
  <si>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</si>
  <si>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</si>
  <si>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</si>
  <si>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</si>
  <si>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</si>
  <si>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</si>
  <si>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</si>
  <si>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</si>
  <si>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</si>
  <si>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</si>
  <si>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</si>
  <si>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</si>
  <si>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</si>
  <si>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</si>
  <si>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</si>
  <si>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</si>
  <si>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</si>
  <si>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</si>
  <si>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</si>
  <si>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</si>
  <si>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Base Cost Per Unit (will be scaled by weights)</t>
  </si>
  <si>
    <t>Meter Reading Title</t>
  </si>
  <si>
    <t>Usage per unit weighting</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</si>
  <si>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</si>
  <si>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</si>
  <si>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</si>
  <si>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</si>
  <si>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</si>
  <si>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</si>
  <si>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</si>
  <si>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</si>
  <si>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</si>
  <si>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</si>
  <si>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</si>
  <si>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</si>
  <si>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</si>
  <si>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</si>
  <si>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</si>
  <si>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Usage Weighting</t>
  </si>
  <si>
    <t>UsageSummary Index</t>
  </si>
  <si>
    <t>Tariff Profile</t>
  </si>
  <si>
    <t>Tariff Profile Name</t>
  </si>
  <si>
    <t>LocalTimeParametersIndex</t>
  </si>
  <si>
    <t>Disable Cost Generation (use YES to disable)</t>
  </si>
  <si>
    <t>UTC to date-time</t>
  </si>
  <si>
    <t>Date-time to UTC</t>
  </si>
  <si>
    <t>Universal Time Calculator (no time zone or DST)</t>
  </si>
  <si>
    <t>Publish date</t>
  </si>
  <si>
    <t>Update date</t>
  </si>
  <si>
    <t>Randomize URNs</t>
  </si>
  <si>
    <t>Interval Duration (Secs or Daily or Monthly)</t>
  </si>
  <si>
    <t>9b6c7088</t>
  </si>
  <si>
    <t>Version 0.7.20131023</t>
  </si>
  <si>
    <t>Date: 23 Oct 2013</t>
  </si>
  <si>
    <t>Settings ID</t>
  </si>
  <si>
    <t>02</t>
  </si>
  <si>
    <t>08</t>
  </si>
  <si>
    <t>Usage Point Title</t>
  </si>
  <si>
    <t>Usage Point UUID</t>
  </si>
  <si>
    <t>Reading Type UUID</t>
  </si>
  <si>
    <t>Local Time Parameters UUID</t>
  </si>
  <si>
    <t>2C3746CE-A898-4096-B410-7819CD39E741</t>
  </si>
  <si>
    <t>6A5A6090-70FD-467B-AB23-E881189E676B</t>
  </si>
  <si>
    <t>YES</t>
  </si>
  <si>
    <t>Meter Reading UUID</t>
  </si>
  <si>
    <t>Weekly</t>
  </si>
  <si>
    <t>Interval Block Duration (Secs or Daily, Weekly or Monthly)</t>
  </si>
  <si>
    <t>NZA12:CONSUMPTN HI</t>
  </si>
  <si>
    <t>NZA12:CONSUMPTN LO</t>
  </si>
  <si>
    <t>NZA12:CURRENT A</t>
  </si>
  <si>
    <t>NZA12:CURRENT B</t>
  </si>
  <si>
    <t>NZA12:CURRENT C</t>
  </si>
  <si>
    <t>NZA12:DEMAND</t>
  </si>
  <si>
    <t>NZA12:POWER FACTOR</t>
  </si>
  <si>
    <t>NZA12:VOLTAGE A.N</t>
  </si>
  <si>
    <t>NZA12:VOLTAGE B.N</t>
  </si>
  <si>
    <t>NZA12:VOLTAGE C.N</t>
  </si>
  <si>
    <t>NZA13:CONSUMPTN HI</t>
  </si>
  <si>
    <t>NZA13:CONSUMPTN LO</t>
  </si>
  <si>
    <t>NZA13:CURRENT A</t>
  </si>
  <si>
    <t>NZA13:CURRENT B</t>
  </si>
  <si>
    <t>NZA13:CURRENT C</t>
  </si>
  <si>
    <t>NZA13:DEMAND</t>
  </si>
  <si>
    <t>NZA13:POWER FACTOR</t>
  </si>
  <si>
    <t>NZA13:VOLTAGE A.N</t>
  </si>
  <si>
    <t>NZA13:VOLTAGE B.N</t>
  </si>
  <si>
    <t>NZA13:VOLTAGE C.N</t>
  </si>
  <si>
    <t>NZA12</t>
  </si>
  <si>
    <t>NZA13</t>
  </si>
  <si>
    <t>901</t>
  </si>
  <si>
    <t>543773B5-1D35-4855-B011-6E9B13FA47C1</t>
  </si>
  <si>
    <t>051967D9-2B6A-4651-89D2-01315BF33B7A</t>
  </si>
  <si>
    <t>03</t>
  </si>
  <si>
    <t>04</t>
  </si>
  <si>
    <t>05</t>
  </si>
  <si>
    <t>06</t>
  </si>
  <si>
    <t>09</t>
  </si>
  <si>
    <t>11</t>
  </si>
  <si>
    <t>CONSUMPTN HI</t>
  </si>
  <si>
    <t>CONSUMPTN LO</t>
  </si>
  <si>
    <t>CURRENT A</t>
  </si>
  <si>
    <t>CURRENT B</t>
  </si>
  <si>
    <t>CURRENT C</t>
  </si>
  <si>
    <t>DEMAND</t>
  </si>
  <si>
    <t>POWER FACTOR</t>
  </si>
  <si>
    <t>VOLTAGE A.N</t>
  </si>
  <si>
    <t>VOLTAGE B.N</t>
  </si>
  <si>
    <t>VOLTAGE C.N</t>
  </si>
  <si>
    <t>Eastern Time</t>
  </si>
  <si>
    <t>5000</t>
  </si>
  <si>
    <t>6000</t>
  </si>
  <si>
    <t>7000</t>
  </si>
  <si>
    <t>8000</t>
  </si>
  <si>
    <t>9000</t>
  </si>
  <si>
    <t>10000</t>
  </si>
  <si>
    <t>11000</t>
  </si>
  <si>
    <t>12000</t>
  </si>
  <si>
    <t>13000</t>
  </si>
  <si>
    <t>14000</t>
  </si>
  <si>
    <t>15000</t>
  </si>
  <si>
    <t>16000</t>
  </si>
  <si>
    <t>17000</t>
  </si>
  <si>
    <t>19000</t>
  </si>
  <si>
    <t>18000</t>
  </si>
  <si>
    <t>20000</t>
  </si>
  <si>
    <t>21000</t>
  </si>
  <si>
    <t>22000</t>
  </si>
  <si>
    <t>23000</t>
  </si>
  <si>
    <t>24000</t>
  </si>
  <si>
    <t>12</t>
  </si>
  <si>
    <t>13</t>
  </si>
  <si>
    <t>14</t>
  </si>
  <si>
    <t>15</t>
  </si>
  <si>
    <t>16</t>
  </si>
  <si>
    <t>17</t>
  </si>
  <si>
    <t>18</t>
  </si>
  <si>
    <t>19</t>
  </si>
  <si>
    <t>20</t>
  </si>
  <si>
    <t>10</t>
  </si>
  <si>
    <t>3</t>
  </si>
  <si>
    <t>1</t>
  </si>
  <si>
    <t>4</t>
  </si>
  <si>
    <t>5</t>
  </si>
  <si>
    <t>6</t>
  </si>
  <si>
    <t>7</t>
  </si>
  <si>
    <t>8</t>
  </si>
  <si>
    <t>9</t>
  </si>
  <si>
    <t>902</t>
  </si>
  <si>
    <t>5568F5A2-62CF-4190-AFF3-131FE661FB27</t>
  </si>
  <si>
    <t>322A88DC-038B-4BB0-BF93-49DF3C2BAF9B</t>
  </si>
  <si>
    <t>17C58EA4-B833-4804-8B5A-8237848E70EF</t>
  </si>
  <si>
    <t>C24FA771-C579-4C3A-981B-3018D7F00586</t>
  </si>
  <si>
    <t>F1149A79-2F3A-4A6F-959E-D45A3D1960AD</t>
  </si>
  <si>
    <t>24C66449-1231-4D0D-AE4E-E82007D66332</t>
  </si>
  <si>
    <t>BA9BCB55-48DB-4430-AC4D-FDD22305C437</t>
  </si>
  <si>
    <t>D9B4323D-35FA-4FF3-BEFC-11371DDEFA27</t>
  </si>
  <si>
    <t>2F36559C-0E4B-4F70-BDFB-EFCAC5C8B52B</t>
  </si>
  <si>
    <t>CAFA2CCF-38D8-4F79-85FE-E3394BE1F3EE</t>
  </si>
  <si>
    <t>8E69095D-4B61-4E38-B89A-3FD2FEC21049</t>
  </si>
  <si>
    <t>04576FAC-9249-4DD4-A983-7EADAAB7C8E6</t>
  </si>
  <si>
    <t>52E6CA24-2FFF-4CE1-89E8-4937116F5A59</t>
  </si>
  <si>
    <t>89120D29-0479-4ECF-9BD3-5DD6FAF6326B</t>
  </si>
  <si>
    <t>C48CA00C-F610-4BC6-886E-EF31042BD56A</t>
  </si>
  <si>
    <t>FFCEC42B-DE81-4077-8264-287A39512441</t>
  </si>
  <si>
    <t>C7B7B1CF-1527-4C89-B0F3-D6AB4962F789</t>
  </si>
  <si>
    <t>35A63B74-E471-426F-B6CA-34A7E56D50B1</t>
  </si>
  <si>
    <t>278706E9-9C6D-4CE1-92C0-ACDC41A0ED38</t>
  </si>
  <si>
    <t>03688B4F-3234-49FF-8BEC-59CCCFFB6D42</t>
  </si>
  <si>
    <t>942DEF44-E76B-4125-A9E4-249CC0EC052E</t>
  </si>
  <si>
    <t>2354E434-A87C-4FB8-A290-A5737E3F0FCB</t>
  </si>
  <si>
    <t>6ED69266-D2D3-4DFF-A9F6-AAD983447BF1</t>
  </si>
  <si>
    <t>5EE4381B-A085-45DD-BF03-9171A235B888</t>
  </si>
  <si>
    <t>B90348E9-F947-45AB-B1D3-A9B89F40B0E2</t>
  </si>
  <si>
    <t>6D7ADB02-E087-4A90-AA96-E1DF554C9423</t>
  </si>
  <si>
    <t>BBD6055F-515A-468F-9446-8495A410FB56</t>
  </si>
  <si>
    <t>A2ACCB64-94C9-4F58-8474-A009DE1BBB45</t>
  </si>
  <si>
    <t>23DAD663-D6EB-4198-AF86-EFAA890A5619</t>
  </si>
  <si>
    <t>557CB4CE-00FE-47D4-AFFA-7E312016CF65</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</si>
</sst>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8" formatCode="&quot;$&quot;#,##0.00_);[Red]\(&quot;$&quot;#,##0.00\)"/>
    <numFmt numFmtId="43" formatCode="_(* #,##0.00_);_(* \(#,##0.00\);_(* &quot;-&quot;??_);_(@_)"/>
    <numFmt numFmtId="164" formatCode="[$-F400]h:mm:ss\ AM/PM"/>
    <numFmt numFmtId="165" formatCode="m/d/yy\ h:mm;@"/>
    <numFmt numFmtId="166" formatCode="0.0000000"/>
    <numFmt numFmtId="167" formatCode="mm/dd/yyyy\ hh:mm;@"/>
  </numFmts>
  <fonts count="10"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s>
  <fills count="9">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rgb="FFC6EFCE"/>
      </patternFill>
    </fill>
    <fill>
      <patternFill patternType="solid">
        <fgColor theme="9"/>
      </patternFill>
    </fill>
  </fills>
  <borders count="4">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bottom style="thin">
        <color rgb="FF7F7F7F"/>
      </bottom>
      <diagonal/>
    </border>
  </borders>
  <cellStyleXfs count="13">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0" fontId="8" fillId="7"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8" borderId="0" applyNumberFormat="0" applyBorder="0" applyAlignment="0" applyProtection="0"/>
    <xf numFmtId="43" fontId="5" fillId="0" borderId="0" applyFont="0" applyFill="0" applyBorder="0" applyAlignment="0" applyProtection="0"/>
  </cellStyleXfs>
  <cellXfs count="55">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4" fontId="1" fillId="5" borderId="2" xfId="4" applyNumberFormat="1" applyFont="1" applyAlignment="1">
      <alignment wrapText="1"/>
    </xf>
    <xf numFmtId="2" fontId="1" fillId="2" borderId="1" xfId="1" applyNumberFormat="1" applyAlignment="1">
      <alignment horizontal="right" wrapText="1"/>
    </xf>
    <xf numFmtId="164" fontId="4" fillId="4" borderId="0" xfId="3" applyAlignment="1">
      <alignment wrapText="1"/>
    </xf>
    <xf numFmtId="164" fontId="4" fillId="4" borderId="0" xfId="3"/>
    <xf numFmtId="164" fontId="5" fillId="6" borderId="0" xfId="5" applyNumberFormat="1"/>
    <xf numFmtId="164" fontId="1" fillId="2" borderId="1" xfId="1"/>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7" borderId="0" xfId="6"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8" borderId="0" xfId="11"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6" fontId="2" fillId="3" borderId="1" xfId="12" applyNumberFormat="1" applyFont="1" applyFill="1" applyBorder="1" applyAlignment="1">
      <alignment wrapText="1"/>
    </xf>
    <xf numFmtId="49" fontId="1" fillId="2" borderId="1" xfId="1" quotePrefix="1" applyNumberFormat="1" applyAlignment="1">
      <alignment horizontal="right" wrapText="1"/>
    </xf>
    <xf numFmtId="0" fontId="5" fillId="0" borderId="0" xfId="7"/>
    <xf numFmtId="164" fontId="4" fillId="8" borderId="0" xfId="11" applyNumberFormat="1"/>
    <xf numFmtId="1" fontId="1" fillId="2" borderId="1" xfId="9" applyNumberFormat="1"/>
    <xf numFmtId="167" fontId="1" fillId="2" borderId="1" xfId="9" applyNumberFormat="1"/>
    <xf numFmtId="167" fontId="8" fillId="7" borderId="0" xfId="6" applyNumberFormat="1"/>
    <xf numFmtId="1" fontId="8" fillId="7" borderId="0" xfId="6" applyNumberFormat="1"/>
    <xf numFmtId="164" fontId="6" fillId="6" borderId="3" xfId="5" applyNumberFormat="1" applyFont="1" applyBorder="1" applyAlignment="1">
      <alignment wrapText="1"/>
    </xf>
    <xf numFmtId="1" fontId="5" fillId="6" borderId="1" xfId="5" applyNumberFormat="1" applyBorder="1" applyAlignment="1">
      <alignment wrapText="1"/>
    </xf>
    <xf numFmtId="1" fontId="1" fillId="2" borderId="1" xfId="1" applyNumberFormat="1" applyAlignment="1"/>
    <xf numFmtId="164" fontId="5" fillId="6" borderId="2" xfId="5" applyNumberFormat="1" applyBorder="1" applyAlignment="1">
      <alignment wrapText="1"/>
    </xf>
    <xf numFmtId="49" fontId="5" fillId="6" borderId="2" xfId="5" applyNumberFormat="1" applyBorder="1" applyAlignment="1">
      <alignment wrapText="1"/>
    </xf>
  </cellXfs>
  <cellStyles count="13">
    <cellStyle name="20% - Accent3" xfId="5" builtinId="38"/>
    <cellStyle name="Accent3" xfId="3" builtinId="37"/>
    <cellStyle name="Accent6" xfId="11" builtinId="49"/>
    <cellStyle name="Calculation" xfId="2" builtinId="22"/>
    <cellStyle name="Comma" xfId="12" builtinId="3"/>
    <cellStyle name="Good" xfId="6" builtinId="26"/>
    <cellStyle name="Input" xfId="1" builtinId="20"/>
    <cellStyle name="Input 2" xfId="9"/>
    <cellStyle name="Normal" xfId="0" builtinId="0"/>
    <cellStyle name="Normal 2" xfId="7"/>
    <cellStyle name="Normal 3" xfId="8"/>
    <cellStyle name="Normal 4" xfId="10"/>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9" sqref="A9"/>
    </sheetView>
  </sheetViews>
  <sheetFormatPr defaultRowHeight="15" x14ac:dyDescent="0.25"/>
  <cols>
    <col min="1" max="1" width="111.140625" style="2" customWidth="1"/>
  </cols>
  <sheetData>
    <row r="1" spans="1:1" ht="18.75" x14ac:dyDescent="0.3">
      <c r="A1" s="24" t="s">
        <v>11</v>
      </c>
    </row>
    <row r="2" spans="1:1" ht="18.75" x14ac:dyDescent="0.3">
      <c r="A2" s="24" t="s">
        <v>93</v>
      </c>
    </row>
    <row r="3" spans="1:1" ht="18.75" x14ac:dyDescent="0.3">
      <c r="A3" s="24" t="s">
        <v>94</v>
      </c>
    </row>
    <row r="4" spans="1:1" ht="18.75" x14ac:dyDescent="0.3">
      <c r="A4" s="24" t="s">
        <v>30</v>
      </c>
    </row>
    <row r="5" spans="1:1" s="4" customFormat="1" x14ac:dyDescent="0.25">
      <c r="A5" s="5"/>
    </row>
    <row r="6" spans="1:1" ht="135" x14ac:dyDescent="0.25">
      <c r="A6" s="2" t="s">
        <v>33</v>
      </c>
    </row>
    <row r="8" spans="1:1" x14ac:dyDescent="0.25">
      <c r="A8" s="25" t="s">
        <v>32</v>
      </c>
    </row>
    <row r="9" spans="1:1" ht="105" x14ac:dyDescent="0.25">
      <c r="A9" s="2" t="s">
        <v>34</v>
      </c>
    </row>
    <row r="11" spans="1:1" x14ac:dyDescent="0.25">
      <c r="A11" s="25" t="s">
        <v>31</v>
      </c>
    </row>
    <row r="12" spans="1:1" ht="120" x14ac:dyDescent="0.25">
      <c r="A12" s="2" t="s">
        <v>26</v>
      </c>
    </row>
    <row r="14" spans="1:1" x14ac:dyDescent="0.25">
      <c r="A14" s="25" t="s">
        <v>56</v>
      </c>
    </row>
    <row r="15" spans="1:1" ht="30" x14ac:dyDescent="0.25">
      <c r="A15" s="2" t="s">
        <v>57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46"/>
  <sheetViews>
    <sheetView tabSelected="1" zoomScale="90" zoomScaleNormal="90" workbookViewId="0">
      <pane xSplit="1" ySplit="2" topLeftCell="Q3" activePane="bottomRight" state="frozen"/>
      <selection pane="topRight" activeCell="B1" sqref="B1"/>
      <selection pane="bottomLeft" activeCell="A4" sqref="A4"/>
      <selection pane="bottomRight" activeCell="D5" sqref="D5:U5"/>
    </sheetView>
  </sheetViews>
  <sheetFormatPr defaultRowHeight="15" x14ac:dyDescent="0.25"/>
  <cols>
    <col min="1" max="1" width="53.5703125" style="2" bestFit="1" customWidth="1"/>
    <col min="2" max="2" width="40" bestFit="1" customWidth="1"/>
    <col min="3" max="3" width="39.7109375" customWidth="1"/>
    <col min="4" max="4" width="40" customWidth="1"/>
    <col min="5" max="5" width="39.7109375" customWidth="1"/>
    <col min="6" max="11" width="40.140625" customWidth="1"/>
    <col min="12" max="12" width="40.140625" bestFit="1" customWidth="1"/>
    <col min="13" max="21" width="41.28515625" bestFit="1" customWidth="1"/>
  </cols>
  <sheetData>
    <row r="1" spans="1:21" ht="74.25" customHeight="1" x14ac:dyDescent="0.25">
      <c r="A1" s="7"/>
    </row>
    <row r="2" spans="1:21" s="21" customFormat="1" x14ac:dyDescent="0.25">
      <c r="A2" s="20"/>
    </row>
    <row r="3" spans="1:21" s="22" customFormat="1" ht="18.75" x14ac:dyDescent="0.3">
      <c r="A3" s="50" t="s">
        <v>28</v>
      </c>
    </row>
    <row r="4" spans="1:21" s="3" customFormat="1" x14ac:dyDescent="0.25">
      <c r="A4" s="51" t="s">
        <v>95</v>
      </c>
      <c r="B4" s="3" t="s">
        <v>108</v>
      </c>
      <c r="C4" s="3" t="s">
        <v>109</v>
      </c>
      <c r="D4" s="3" t="s">
        <v>110</v>
      </c>
      <c r="E4" s="3" t="s">
        <v>111</v>
      </c>
      <c r="F4" s="3" t="s">
        <v>112</v>
      </c>
      <c r="G4" s="3" t="s">
        <v>113</v>
      </c>
      <c r="H4" s="3" t="s">
        <v>114</v>
      </c>
      <c r="I4" s="3" t="s">
        <v>115</v>
      </c>
      <c r="J4" s="3" t="s">
        <v>116</v>
      </c>
      <c r="K4" s="3" t="s">
        <v>117</v>
      </c>
      <c r="L4" s="3" t="s">
        <v>118</v>
      </c>
      <c r="M4" s="3" t="s">
        <v>119</v>
      </c>
      <c r="N4" s="3" t="s">
        <v>120</v>
      </c>
      <c r="O4" s="3" t="s">
        <v>121</v>
      </c>
      <c r="P4" s="3" t="s">
        <v>122</v>
      </c>
      <c r="Q4" s="3" t="s">
        <v>123</v>
      </c>
      <c r="R4" s="3" t="s">
        <v>124</v>
      </c>
      <c r="S4" s="3" t="s">
        <v>125</v>
      </c>
      <c r="T4" s="3" t="s">
        <v>126</v>
      </c>
      <c r="U4" s="3" t="s">
        <v>127</v>
      </c>
    </row>
    <row r="5" spans="1:21" s="23" customFormat="1" ht="30" x14ac:dyDescent="0.25">
      <c r="A5" s="26" t="s">
        <v>35</v>
      </c>
      <c r="B5" s="19">
        <v>1</v>
      </c>
      <c r="C5" s="19">
        <v>1</v>
      </c>
      <c r="D5" s="19">
        <v>1</v>
      </c>
      <c r="E5" s="19">
        <v>1</v>
      </c>
      <c r="F5" s="19">
        <v>1</v>
      </c>
      <c r="G5" s="19">
        <v>1</v>
      </c>
      <c r="H5" s="19">
        <v>1</v>
      </c>
      <c r="I5" s="19">
        <v>1</v>
      </c>
      <c r="J5" s="19">
        <v>1</v>
      </c>
      <c r="K5" s="19">
        <v>1</v>
      </c>
      <c r="L5" s="19">
        <v>1</v>
      </c>
      <c r="M5" s="19">
        <v>1</v>
      </c>
      <c r="N5" s="19">
        <v>1</v>
      </c>
      <c r="O5" s="19">
        <v>1</v>
      </c>
      <c r="P5" s="19">
        <v>1</v>
      </c>
      <c r="Q5" s="19">
        <v>1</v>
      </c>
      <c r="R5" s="19">
        <v>1</v>
      </c>
      <c r="S5" s="19">
        <v>1</v>
      </c>
      <c r="T5" s="19">
        <v>1</v>
      </c>
      <c r="U5" s="19">
        <v>1</v>
      </c>
    </row>
    <row r="6" spans="1:21" s="34" customFormat="1" ht="18.75" x14ac:dyDescent="0.3">
      <c r="A6" s="35" t="s">
        <v>29</v>
      </c>
    </row>
    <row r="7" spans="1:21" s="34" customFormat="1" x14ac:dyDescent="0.25">
      <c r="A7" s="18" t="s">
        <v>98</v>
      </c>
      <c r="B7" s="34" t="s">
        <v>128</v>
      </c>
      <c r="C7" s="34" t="s">
        <v>128</v>
      </c>
      <c r="D7" s="34" t="s">
        <v>128</v>
      </c>
      <c r="E7" s="34" t="s">
        <v>128</v>
      </c>
      <c r="F7" s="34" t="s">
        <v>128</v>
      </c>
      <c r="G7" s="34" t="s">
        <v>128</v>
      </c>
      <c r="H7" s="34" t="s">
        <v>128</v>
      </c>
      <c r="I7" s="34" t="s">
        <v>128</v>
      </c>
      <c r="J7" s="34" t="s">
        <v>128</v>
      </c>
      <c r="K7" s="34" t="s">
        <v>128</v>
      </c>
      <c r="L7" s="34" t="s">
        <v>129</v>
      </c>
      <c r="M7" s="34" t="s">
        <v>129</v>
      </c>
      <c r="N7" s="34" t="s">
        <v>129</v>
      </c>
      <c r="O7" s="34" t="s">
        <v>129</v>
      </c>
      <c r="P7" s="34" t="s">
        <v>129</v>
      </c>
      <c r="Q7" s="34" t="s">
        <v>129</v>
      </c>
      <c r="R7" s="34" t="s">
        <v>129</v>
      </c>
      <c r="S7" s="34" t="s">
        <v>129</v>
      </c>
      <c r="T7" s="34" t="s">
        <v>129</v>
      </c>
      <c r="U7" s="34" t="s">
        <v>129</v>
      </c>
    </row>
    <row r="8" spans="1:21" s="34" customFormat="1" x14ac:dyDescent="0.25">
      <c r="A8" s="53" t="s">
        <v>99</v>
      </c>
      <c r="B8" s="34" t="s">
        <v>102</v>
      </c>
      <c r="C8" s="34" t="s">
        <v>102</v>
      </c>
      <c r="D8" s="34" t="s">
        <v>102</v>
      </c>
      <c r="E8" s="34" t="s">
        <v>102</v>
      </c>
      <c r="F8" s="34" t="s">
        <v>102</v>
      </c>
      <c r="G8" s="34" t="s">
        <v>102</v>
      </c>
      <c r="H8" s="34" t="s">
        <v>102</v>
      </c>
      <c r="I8" s="34" t="s">
        <v>102</v>
      </c>
      <c r="J8" s="34" t="s">
        <v>102</v>
      </c>
      <c r="K8" s="34" t="s">
        <v>102</v>
      </c>
      <c r="L8" s="34" t="s">
        <v>131</v>
      </c>
      <c r="M8" s="34" t="s">
        <v>131</v>
      </c>
      <c r="N8" s="34" t="s">
        <v>131</v>
      </c>
      <c r="O8" s="34" t="s">
        <v>131</v>
      </c>
      <c r="P8" s="34" t="s">
        <v>131</v>
      </c>
      <c r="Q8" s="34" t="s">
        <v>131</v>
      </c>
      <c r="R8" s="34" t="s">
        <v>131</v>
      </c>
      <c r="S8" s="34" t="s">
        <v>131</v>
      </c>
      <c r="T8" s="34" t="s">
        <v>131</v>
      </c>
      <c r="U8" s="34" t="s">
        <v>131</v>
      </c>
    </row>
    <row r="9" spans="1:21" s="23" customFormat="1" x14ac:dyDescent="0.25">
      <c r="A9" s="53" t="s">
        <v>101</v>
      </c>
      <c r="B9" s="52" t="s">
        <v>103</v>
      </c>
      <c r="C9" s="52" t="s">
        <v>103</v>
      </c>
      <c r="D9" s="52" t="s">
        <v>103</v>
      </c>
      <c r="E9" s="52" t="s">
        <v>103</v>
      </c>
      <c r="F9" s="52" t="s">
        <v>103</v>
      </c>
      <c r="G9" s="52" t="s">
        <v>103</v>
      </c>
      <c r="H9" s="52" t="s">
        <v>103</v>
      </c>
      <c r="I9" s="52" t="s">
        <v>103</v>
      </c>
      <c r="J9" s="52" t="s">
        <v>103</v>
      </c>
      <c r="K9" s="52" t="s">
        <v>103</v>
      </c>
      <c r="L9" s="52" t="s">
        <v>132</v>
      </c>
      <c r="M9" s="52" t="s">
        <v>132</v>
      </c>
      <c r="N9" s="52" t="s">
        <v>132</v>
      </c>
      <c r="O9" s="52" t="s">
        <v>132</v>
      </c>
      <c r="P9" s="52" t="s">
        <v>132</v>
      </c>
      <c r="Q9" s="52" t="s">
        <v>132</v>
      </c>
      <c r="R9" s="52" t="s">
        <v>132</v>
      </c>
      <c r="S9" s="52" t="s">
        <v>132</v>
      </c>
      <c r="T9" s="52" t="s">
        <v>132</v>
      </c>
      <c r="U9" s="52" t="s">
        <v>132</v>
      </c>
    </row>
    <row r="10" spans="1:21" s="34" customFormat="1" x14ac:dyDescent="0.25">
      <c r="A10" s="53" t="s">
        <v>100</v>
      </c>
      <c r="B10" s="34" t="s">
        <v>189</v>
      </c>
      <c r="C10" s="34" t="s">
        <v>190</v>
      </c>
      <c r="D10" s="34" t="s">
        <v>191</v>
      </c>
      <c r="E10" s="34" t="s">
        <v>192</v>
      </c>
      <c r="F10" s="34" t="s">
        <v>193</v>
      </c>
      <c r="G10" s="34" t="s">
        <v>194</v>
      </c>
      <c r="H10" s="34" t="s">
        <v>195</v>
      </c>
      <c r="I10" s="34" t="s">
        <v>196</v>
      </c>
      <c r="J10" s="34" t="s">
        <v>197</v>
      </c>
      <c r="K10" s="34" t="s">
        <v>198</v>
      </c>
      <c r="L10" s="34" t="s">
        <v>189</v>
      </c>
      <c r="M10" s="34" t="s">
        <v>190</v>
      </c>
      <c r="N10" s="34" t="s">
        <v>191</v>
      </c>
      <c r="O10" s="34" t="s">
        <v>192</v>
      </c>
      <c r="P10" s="34" t="s">
        <v>193</v>
      </c>
      <c r="Q10" s="34" t="s">
        <v>194</v>
      </c>
      <c r="R10" s="34" t="s">
        <v>195</v>
      </c>
      <c r="S10" s="34" t="s">
        <v>196</v>
      </c>
      <c r="T10" s="34" t="s">
        <v>197</v>
      </c>
      <c r="U10" s="34" t="s">
        <v>198</v>
      </c>
    </row>
    <row r="11" spans="1:21" s="34" customFormat="1" x14ac:dyDescent="0.25">
      <c r="A11" s="53" t="s">
        <v>105</v>
      </c>
      <c r="B11" s="34" t="s">
        <v>199</v>
      </c>
      <c r="C11" s="34" t="s">
        <v>200</v>
      </c>
      <c r="D11" s="34" t="s">
        <v>201</v>
      </c>
      <c r="E11" s="34" t="s">
        <v>202</v>
      </c>
      <c r="F11" s="34" t="s">
        <v>203</v>
      </c>
      <c r="G11" s="34" t="s">
        <v>204</v>
      </c>
      <c r="H11" s="34" t="s">
        <v>205</v>
      </c>
      <c r="I11" s="34" t="s">
        <v>206</v>
      </c>
      <c r="J11" s="34" t="s">
        <v>207</v>
      </c>
      <c r="K11" s="34" t="s">
        <v>208</v>
      </c>
      <c r="L11" s="34" t="s">
        <v>209</v>
      </c>
      <c r="M11" s="34" t="s">
        <v>210</v>
      </c>
      <c r="N11" s="34" t="s">
        <v>211</v>
      </c>
      <c r="O11" s="34" t="s">
        <v>212</v>
      </c>
      <c r="P11" s="34" t="s">
        <v>213</v>
      </c>
      <c r="Q11" s="34" t="s">
        <v>214</v>
      </c>
      <c r="R11" s="34" t="s">
        <v>215</v>
      </c>
      <c r="S11" s="34" t="s">
        <v>216</v>
      </c>
      <c r="T11" s="34" t="s">
        <v>217</v>
      </c>
      <c r="U11" s="34" t="s">
        <v>218</v>
      </c>
    </row>
    <row r="12" spans="1:21" s="34" customFormat="1" x14ac:dyDescent="0.25">
      <c r="A12" s="18" t="s">
        <v>62</v>
      </c>
      <c r="B12" s="34" t="s">
        <v>139</v>
      </c>
      <c r="C12" s="34" t="s">
        <v>140</v>
      </c>
      <c r="D12" s="34" t="s">
        <v>141</v>
      </c>
      <c r="E12" s="34" t="s">
        <v>142</v>
      </c>
      <c r="F12" s="34" t="s">
        <v>143</v>
      </c>
      <c r="G12" s="34" t="s">
        <v>144</v>
      </c>
      <c r="H12" s="34" t="s">
        <v>145</v>
      </c>
      <c r="I12" s="34" t="s">
        <v>146</v>
      </c>
      <c r="J12" s="34" t="s">
        <v>147</v>
      </c>
      <c r="K12" s="34" t="s">
        <v>148</v>
      </c>
      <c r="L12" s="34" t="s">
        <v>139</v>
      </c>
      <c r="M12" s="34" t="s">
        <v>140</v>
      </c>
      <c r="N12" s="34" t="s">
        <v>141</v>
      </c>
      <c r="O12" s="34" t="s">
        <v>142</v>
      </c>
      <c r="P12" s="34" t="s">
        <v>143</v>
      </c>
      <c r="Q12" s="34" t="s">
        <v>144</v>
      </c>
      <c r="R12" s="34" t="s">
        <v>145</v>
      </c>
      <c r="S12" s="34" t="s">
        <v>146</v>
      </c>
      <c r="T12" s="34" t="s">
        <v>147</v>
      </c>
      <c r="U12" s="34" t="s">
        <v>148</v>
      </c>
    </row>
    <row r="13" spans="1:21" s="23" customFormat="1" x14ac:dyDescent="0.25">
      <c r="A13" s="18" t="s">
        <v>53</v>
      </c>
      <c r="B13" s="9" t="s">
        <v>149</v>
      </c>
      <c r="C13" s="9" t="s">
        <v>149</v>
      </c>
      <c r="D13" s="9" t="s">
        <v>149</v>
      </c>
      <c r="E13" s="9" t="s">
        <v>149</v>
      </c>
      <c r="F13" s="9" t="s">
        <v>149</v>
      </c>
      <c r="G13" s="9" t="s">
        <v>149</v>
      </c>
      <c r="H13" s="9" t="s">
        <v>149</v>
      </c>
      <c r="I13" s="9" t="s">
        <v>149</v>
      </c>
      <c r="J13" s="9" t="s">
        <v>149</v>
      </c>
      <c r="K13" s="9" t="s">
        <v>149</v>
      </c>
      <c r="L13" s="9" t="s">
        <v>149</v>
      </c>
      <c r="M13" s="9" t="s">
        <v>149</v>
      </c>
      <c r="N13" s="9" t="s">
        <v>149</v>
      </c>
      <c r="O13" s="9" t="s">
        <v>149</v>
      </c>
      <c r="P13" s="9" t="s">
        <v>149</v>
      </c>
      <c r="Q13" s="9" t="s">
        <v>149</v>
      </c>
      <c r="R13" s="9" t="s">
        <v>149</v>
      </c>
      <c r="S13" s="9" t="s">
        <v>149</v>
      </c>
      <c r="T13" s="9" t="s">
        <v>149</v>
      </c>
      <c r="U13" s="9" t="s">
        <v>149</v>
      </c>
    </row>
    <row r="14" spans="1:21" s="23" customFormat="1" x14ac:dyDescent="0.25">
      <c r="A14" s="18" t="s">
        <v>36</v>
      </c>
      <c r="B14" s="9">
        <f>3600*(-8)</f>
        <v>-28800</v>
      </c>
      <c r="C14" s="9">
        <f t="shared" ref="C14:K14" si="0">3600*(-8)</f>
        <v>-28800</v>
      </c>
      <c r="D14" s="9">
        <f t="shared" si="0"/>
        <v>-28800</v>
      </c>
      <c r="E14" s="9">
        <f t="shared" si="0"/>
        <v>-28800</v>
      </c>
      <c r="F14" s="9">
        <f t="shared" si="0"/>
        <v>-28800</v>
      </c>
      <c r="G14" s="9">
        <f t="shared" si="0"/>
        <v>-28800</v>
      </c>
      <c r="H14" s="9">
        <f t="shared" si="0"/>
        <v>-28800</v>
      </c>
      <c r="I14" s="9">
        <f t="shared" si="0"/>
        <v>-28800</v>
      </c>
      <c r="J14" s="9">
        <f t="shared" si="0"/>
        <v>-28800</v>
      </c>
      <c r="K14" s="9">
        <f t="shared" si="0"/>
        <v>-28800</v>
      </c>
      <c r="L14" s="9">
        <f>3600*(-8)</f>
        <v>-28800</v>
      </c>
      <c r="M14" s="9">
        <f t="shared" ref="M14:U14" si="1">3600*(-8)</f>
        <v>-28800</v>
      </c>
      <c r="N14" s="9">
        <f t="shared" si="1"/>
        <v>-28800</v>
      </c>
      <c r="O14" s="9">
        <f t="shared" si="1"/>
        <v>-28800</v>
      </c>
      <c r="P14" s="9">
        <f t="shared" si="1"/>
        <v>-28800</v>
      </c>
      <c r="Q14" s="9">
        <f t="shared" si="1"/>
        <v>-28800</v>
      </c>
      <c r="R14" s="9">
        <f t="shared" si="1"/>
        <v>-28800</v>
      </c>
      <c r="S14" s="9">
        <f t="shared" si="1"/>
        <v>-28800</v>
      </c>
      <c r="T14" s="9">
        <f t="shared" si="1"/>
        <v>-28800</v>
      </c>
      <c r="U14" s="9">
        <f t="shared" si="1"/>
        <v>-28800</v>
      </c>
    </row>
    <row r="15" spans="1:21" s="23" customFormat="1" x14ac:dyDescent="0.25">
      <c r="A15" s="18" t="s">
        <v>60</v>
      </c>
      <c r="B15" s="9">
        <v>3600</v>
      </c>
      <c r="C15" s="9">
        <v>3600</v>
      </c>
      <c r="D15" s="9">
        <v>3600</v>
      </c>
      <c r="E15" s="9">
        <v>3600</v>
      </c>
      <c r="F15" s="9">
        <v>3600</v>
      </c>
      <c r="G15" s="9">
        <v>3600</v>
      </c>
      <c r="H15" s="9">
        <v>3600</v>
      </c>
      <c r="I15" s="9">
        <v>3600</v>
      </c>
      <c r="J15" s="9">
        <v>3600</v>
      </c>
      <c r="K15" s="9">
        <v>3600</v>
      </c>
      <c r="L15" s="9">
        <v>3600</v>
      </c>
      <c r="M15" s="9">
        <v>3600</v>
      </c>
      <c r="N15" s="9">
        <v>3600</v>
      </c>
      <c r="O15" s="9">
        <v>3600</v>
      </c>
      <c r="P15" s="9">
        <v>3600</v>
      </c>
      <c r="Q15" s="9">
        <v>3600</v>
      </c>
      <c r="R15" s="9">
        <v>3600</v>
      </c>
      <c r="S15" s="9">
        <v>3600</v>
      </c>
      <c r="T15" s="9">
        <v>3600</v>
      </c>
      <c r="U15" s="9">
        <v>3600</v>
      </c>
    </row>
    <row r="16" spans="1:21" s="23" customFormat="1" x14ac:dyDescent="0.25">
      <c r="A16" s="18" t="s">
        <v>51</v>
      </c>
      <c r="B16" s="30" t="s">
        <v>50</v>
      </c>
      <c r="C16" s="30" t="s">
        <v>50</v>
      </c>
      <c r="D16" s="30" t="s">
        <v>50</v>
      </c>
      <c r="E16" s="30" t="s">
        <v>50</v>
      </c>
      <c r="F16" s="30" t="s">
        <v>50</v>
      </c>
      <c r="G16" s="30" t="s">
        <v>50</v>
      </c>
      <c r="H16" s="30" t="s">
        <v>50</v>
      </c>
      <c r="I16" s="30" t="s">
        <v>50</v>
      </c>
      <c r="J16" s="30" t="s">
        <v>50</v>
      </c>
      <c r="K16" s="30" t="s">
        <v>50</v>
      </c>
      <c r="L16" s="30" t="s">
        <v>50</v>
      </c>
      <c r="M16" s="30" t="s">
        <v>50</v>
      </c>
      <c r="N16" s="30" t="s">
        <v>50</v>
      </c>
      <c r="O16" s="30" t="s">
        <v>50</v>
      </c>
      <c r="P16" s="30" t="s">
        <v>50</v>
      </c>
      <c r="Q16" s="30" t="s">
        <v>50</v>
      </c>
      <c r="R16" s="30" t="s">
        <v>50</v>
      </c>
      <c r="S16" s="30" t="s">
        <v>50</v>
      </c>
      <c r="T16" s="30" t="s">
        <v>50</v>
      </c>
      <c r="U16" s="30" t="s">
        <v>50</v>
      </c>
    </row>
    <row r="17" spans="1:21" s="23" customFormat="1" x14ac:dyDescent="0.25">
      <c r="A17" s="18" t="s">
        <v>52</v>
      </c>
      <c r="B17" s="30" t="s">
        <v>59</v>
      </c>
      <c r="C17" s="30" t="s">
        <v>59</v>
      </c>
      <c r="D17" s="30" t="s">
        <v>59</v>
      </c>
      <c r="E17" s="30" t="s">
        <v>59</v>
      </c>
      <c r="F17" s="30" t="s">
        <v>59</v>
      </c>
      <c r="G17" s="30" t="s">
        <v>59</v>
      </c>
      <c r="H17" s="30" t="s">
        <v>59</v>
      </c>
      <c r="I17" s="30" t="s">
        <v>59</v>
      </c>
      <c r="J17" s="30" t="s">
        <v>59</v>
      </c>
      <c r="K17" s="30" t="s">
        <v>59</v>
      </c>
      <c r="L17" s="30" t="s">
        <v>59</v>
      </c>
      <c r="M17" s="30" t="s">
        <v>59</v>
      </c>
      <c r="N17" s="30" t="s">
        <v>59</v>
      </c>
      <c r="O17" s="30" t="s">
        <v>59</v>
      </c>
      <c r="P17" s="30" t="s">
        <v>59</v>
      </c>
      <c r="Q17" s="30" t="s">
        <v>59</v>
      </c>
      <c r="R17" s="30" t="s">
        <v>59</v>
      </c>
      <c r="S17" s="30" t="s">
        <v>59</v>
      </c>
      <c r="T17" s="30" t="s">
        <v>59</v>
      </c>
      <c r="U17" s="30" t="s">
        <v>59</v>
      </c>
    </row>
    <row r="18" spans="1:21" s="23" customFormat="1" x14ac:dyDescent="0.25">
      <c r="A18" s="18" t="s">
        <v>27</v>
      </c>
      <c r="B18" s="9">
        <v>1</v>
      </c>
      <c r="C18" s="9">
        <v>1</v>
      </c>
      <c r="D18" s="9">
        <v>1</v>
      </c>
      <c r="E18" s="9">
        <v>1</v>
      </c>
      <c r="F18" s="9">
        <v>1</v>
      </c>
      <c r="G18" s="9">
        <v>1</v>
      </c>
      <c r="H18" s="9">
        <v>1</v>
      </c>
      <c r="I18" s="9">
        <v>1</v>
      </c>
      <c r="J18" s="9">
        <v>1</v>
      </c>
      <c r="K18" s="9">
        <v>1</v>
      </c>
      <c r="L18" s="9">
        <v>1</v>
      </c>
      <c r="M18" s="9">
        <v>1</v>
      </c>
      <c r="N18" s="9">
        <v>1</v>
      </c>
      <c r="O18" s="9">
        <v>1</v>
      </c>
      <c r="P18" s="9">
        <v>1</v>
      </c>
      <c r="Q18" s="9">
        <v>1</v>
      </c>
      <c r="R18" s="9">
        <v>1</v>
      </c>
      <c r="S18" s="9">
        <v>1</v>
      </c>
      <c r="T18" s="9">
        <v>1</v>
      </c>
      <c r="U18" s="9">
        <v>1</v>
      </c>
    </row>
    <row r="19" spans="1:21" s="23" customFormat="1" x14ac:dyDescent="0.25">
      <c r="A19" s="18" t="s">
        <v>91</v>
      </c>
      <c r="B19" s="15">
        <v>60</v>
      </c>
      <c r="C19" s="15">
        <v>60</v>
      </c>
      <c r="D19" s="15">
        <v>60</v>
      </c>
      <c r="E19" s="15">
        <v>60</v>
      </c>
      <c r="F19" s="15">
        <v>60</v>
      </c>
      <c r="G19" s="15">
        <v>60</v>
      </c>
      <c r="H19" s="15">
        <v>60</v>
      </c>
      <c r="I19" s="15">
        <v>60</v>
      </c>
      <c r="J19" s="15">
        <v>60</v>
      </c>
      <c r="K19" s="15">
        <v>60</v>
      </c>
      <c r="L19" s="15">
        <v>60</v>
      </c>
      <c r="M19" s="15">
        <v>60</v>
      </c>
      <c r="N19" s="15">
        <v>60</v>
      </c>
      <c r="O19" s="15">
        <v>60</v>
      </c>
      <c r="P19" s="15">
        <v>60</v>
      </c>
      <c r="Q19" s="15">
        <v>60</v>
      </c>
      <c r="R19" s="15">
        <v>60</v>
      </c>
      <c r="S19" s="15">
        <v>60</v>
      </c>
      <c r="T19" s="15">
        <v>60</v>
      </c>
      <c r="U19" s="15">
        <v>60</v>
      </c>
    </row>
    <row r="20" spans="1:21" s="23" customFormat="1" x14ac:dyDescent="0.25">
      <c r="A20" s="18" t="s">
        <v>107</v>
      </c>
      <c r="B20" s="31" t="s">
        <v>106</v>
      </c>
      <c r="C20" s="31" t="s">
        <v>106</v>
      </c>
      <c r="D20" s="31" t="s">
        <v>106</v>
      </c>
      <c r="E20" s="31" t="s">
        <v>106</v>
      </c>
      <c r="F20" s="31" t="s">
        <v>106</v>
      </c>
      <c r="G20" s="31" t="s">
        <v>106</v>
      </c>
      <c r="H20" s="31" t="s">
        <v>106</v>
      </c>
      <c r="I20" s="31" t="s">
        <v>106</v>
      </c>
      <c r="J20" s="31" t="s">
        <v>106</v>
      </c>
      <c r="K20" s="31" t="s">
        <v>106</v>
      </c>
      <c r="L20" s="31" t="s">
        <v>106</v>
      </c>
      <c r="M20" s="31" t="s">
        <v>106</v>
      </c>
      <c r="N20" s="31" t="s">
        <v>106</v>
      </c>
      <c r="O20" s="31" t="s">
        <v>106</v>
      </c>
      <c r="P20" s="31" t="s">
        <v>106</v>
      </c>
      <c r="Q20" s="31" t="s">
        <v>106</v>
      </c>
      <c r="R20" s="31" t="s">
        <v>106</v>
      </c>
      <c r="S20" s="31" t="s">
        <v>106</v>
      </c>
      <c r="T20" s="31" t="s">
        <v>106</v>
      </c>
      <c r="U20" s="31" t="s">
        <v>106</v>
      </c>
    </row>
    <row r="21" spans="1:21" s="23" customFormat="1" x14ac:dyDescent="0.25">
      <c r="A21" s="18" t="s">
        <v>64</v>
      </c>
      <c r="B21" s="31"/>
      <c r="C21" s="31"/>
      <c r="D21" s="31"/>
      <c r="E21" s="31"/>
      <c r="F21" s="31"/>
      <c r="G21" s="31"/>
      <c r="H21" s="31"/>
      <c r="I21" s="31"/>
      <c r="J21" s="31"/>
      <c r="K21" s="31"/>
      <c r="L21" s="31"/>
      <c r="M21" s="31"/>
      <c r="N21" s="31"/>
      <c r="O21" s="31"/>
      <c r="P21" s="31"/>
      <c r="Q21" s="31"/>
      <c r="R21" s="31"/>
      <c r="S21" s="31"/>
      <c r="T21" s="31"/>
      <c r="U21" s="31"/>
    </row>
    <row r="22" spans="1:21" s="23" customFormat="1" x14ac:dyDescent="0.25">
      <c r="A22" s="18" t="s">
        <v>65</v>
      </c>
      <c r="B22" s="9">
        <v>0</v>
      </c>
      <c r="C22" s="9">
        <v>0</v>
      </c>
      <c r="D22" s="9">
        <v>0</v>
      </c>
      <c r="E22" s="9">
        <v>0</v>
      </c>
      <c r="F22" s="9">
        <v>0</v>
      </c>
      <c r="G22" s="9">
        <v>0</v>
      </c>
      <c r="H22" s="9">
        <v>0</v>
      </c>
      <c r="I22" s="9">
        <v>0</v>
      </c>
      <c r="J22" s="9">
        <v>0</v>
      </c>
      <c r="K22" s="9">
        <v>0</v>
      </c>
      <c r="L22" s="9">
        <v>0</v>
      </c>
      <c r="M22" s="9">
        <v>0</v>
      </c>
      <c r="N22" s="9">
        <v>0</v>
      </c>
      <c r="O22" s="9">
        <v>0</v>
      </c>
      <c r="P22" s="9">
        <v>0</v>
      </c>
      <c r="Q22" s="9">
        <v>0</v>
      </c>
      <c r="R22" s="9">
        <v>0</v>
      </c>
      <c r="S22" s="9">
        <v>0</v>
      </c>
      <c r="T22" s="9">
        <v>0</v>
      </c>
      <c r="U22" s="9">
        <v>0</v>
      </c>
    </row>
    <row r="23" spans="1:21" s="23" customFormat="1" x14ac:dyDescent="0.25">
      <c r="A23" s="18" t="s">
        <v>66</v>
      </c>
      <c r="B23" s="10">
        <v>0</v>
      </c>
      <c r="C23" s="10">
        <v>0</v>
      </c>
      <c r="D23" s="10">
        <v>0</v>
      </c>
      <c r="E23" s="10">
        <v>0</v>
      </c>
      <c r="F23" s="10">
        <v>0</v>
      </c>
      <c r="G23" s="10">
        <v>0</v>
      </c>
      <c r="H23" s="10">
        <v>0</v>
      </c>
      <c r="I23" s="10">
        <v>0</v>
      </c>
      <c r="J23" s="10">
        <v>0</v>
      </c>
      <c r="K23" s="10">
        <v>0</v>
      </c>
      <c r="L23" s="10">
        <v>0</v>
      </c>
      <c r="M23" s="10">
        <v>0</v>
      </c>
      <c r="N23" s="10">
        <v>0</v>
      </c>
      <c r="O23" s="10">
        <v>0</v>
      </c>
      <c r="P23" s="10">
        <v>0</v>
      </c>
      <c r="Q23" s="10">
        <v>0</v>
      </c>
      <c r="R23" s="10">
        <v>0</v>
      </c>
      <c r="S23" s="10">
        <v>0</v>
      </c>
      <c r="T23" s="10">
        <v>0</v>
      </c>
      <c r="U23" s="10">
        <v>0</v>
      </c>
    </row>
    <row r="24" spans="1:21" s="23" customFormat="1" x14ac:dyDescent="0.25">
      <c r="A24" s="18" t="s">
        <v>67</v>
      </c>
      <c r="B24" s="41">
        <v>72</v>
      </c>
      <c r="C24" s="41">
        <v>72</v>
      </c>
      <c r="D24" s="41">
        <v>72</v>
      </c>
      <c r="E24" s="41">
        <v>72</v>
      </c>
      <c r="F24" s="41">
        <v>72</v>
      </c>
      <c r="G24" s="41">
        <v>72</v>
      </c>
      <c r="H24" s="41">
        <v>72</v>
      </c>
      <c r="I24" s="41">
        <v>72</v>
      </c>
      <c r="J24" s="41">
        <v>72</v>
      </c>
      <c r="K24" s="41">
        <v>72</v>
      </c>
      <c r="L24" s="41">
        <v>72</v>
      </c>
      <c r="M24" s="41">
        <v>72</v>
      </c>
      <c r="N24" s="41">
        <v>72</v>
      </c>
      <c r="O24" s="41">
        <v>72</v>
      </c>
      <c r="P24" s="41">
        <v>72</v>
      </c>
      <c r="Q24" s="41">
        <v>72</v>
      </c>
      <c r="R24" s="41">
        <v>72</v>
      </c>
      <c r="S24" s="41">
        <v>72</v>
      </c>
      <c r="T24" s="41">
        <v>72</v>
      </c>
      <c r="U24" s="41">
        <v>72</v>
      </c>
    </row>
    <row r="25" spans="1:21" s="23" customFormat="1" x14ac:dyDescent="0.25">
      <c r="A25" s="18" t="s">
        <v>68</v>
      </c>
      <c r="B25" s="10">
        <v>4</v>
      </c>
      <c r="C25" s="10">
        <v>4</v>
      </c>
      <c r="D25" s="10">
        <v>1</v>
      </c>
      <c r="E25" s="10">
        <v>1</v>
      </c>
      <c r="F25" s="10">
        <v>1</v>
      </c>
      <c r="G25" s="10">
        <v>1</v>
      </c>
      <c r="H25" s="10">
        <v>1</v>
      </c>
      <c r="I25" s="10">
        <v>1</v>
      </c>
      <c r="J25" s="10">
        <v>1</v>
      </c>
      <c r="K25" s="10">
        <v>1</v>
      </c>
      <c r="L25" s="10">
        <v>4</v>
      </c>
      <c r="M25" s="10">
        <v>4</v>
      </c>
      <c r="N25" s="10">
        <v>1</v>
      </c>
      <c r="O25" s="10">
        <v>1</v>
      </c>
      <c r="P25" s="10">
        <v>1</v>
      </c>
      <c r="Q25" s="10">
        <v>1</v>
      </c>
      <c r="R25" s="10">
        <v>1</v>
      </c>
      <c r="S25" s="10">
        <v>1</v>
      </c>
      <c r="T25" s="10">
        <v>1</v>
      </c>
      <c r="U25" s="10">
        <v>1</v>
      </c>
    </row>
    <row r="26" spans="1:21" s="23" customFormat="1" x14ac:dyDescent="0.25">
      <c r="A26" s="18" t="s">
        <v>69</v>
      </c>
      <c r="B26" s="10">
        <v>1</v>
      </c>
      <c r="C26" s="10">
        <v>1</v>
      </c>
      <c r="D26" s="10">
        <v>1</v>
      </c>
      <c r="E26" s="10">
        <v>1</v>
      </c>
      <c r="F26" s="10">
        <v>1</v>
      </c>
      <c r="G26" s="10">
        <v>1</v>
      </c>
      <c r="H26" s="10">
        <v>1</v>
      </c>
      <c r="I26" s="10">
        <v>1</v>
      </c>
      <c r="J26" s="10">
        <v>1</v>
      </c>
      <c r="K26" s="10">
        <v>1</v>
      </c>
      <c r="L26" s="10">
        <v>1</v>
      </c>
      <c r="M26" s="10">
        <v>1</v>
      </c>
      <c r="N26" s="10">
        <v>1</v>
      </c>
      <c r="O26" s="10">
        <v>1</v>
      </c>
      <c r="P26" s="10">
        <v>1</v>
      </c>
      <c r="Q26" s="10">
        <v>1</v>
      </c>
      <c r="R26" s="10">
        <v>1</v>
      </c>
      <c r="S26" s="10">
        <v>1</v>
      </c>
      <c r="T26" s="10">
        <v>1</v>
      </c>
      <c r="U26" s="10">
        <v>1</v>
      </c>
    </row>
    <row r="27" spans="1:21" s="23" customFormat="1" x14ac:dyDescent="0.25">
      <c r="A27" s="18" t="s">
        <v>70</v>
      </c>
      <c r="B27" s="10">
        <v>12</v>
      </c>
      <c r="C27" s="10">
        <v>12</v>
      </c>
      <c r="D27" s="10">
        <v>12</v>
      </c>
      <c r="E27" s="10">
        <v>12</v>
      </c>
      <c r="F27" s="10">
        <v>12</v>
      </c>
      <c r="G27" s="10">
        <v>12</v>
      </c>
      <c r="H27" s="10">
        <v>12</v>
      </c>
      <c r="I27" s="10">
        <v>12</v>
      </c>
      <c r="J27" s="10">
        <v>12</v>
      </c>
      <c r="K27" s="10">
        <v>12</v>
      </c>
      <c r="L27" s="10">
        <v>12</v>
      </c>
      <c r="M27" s="10">
        <v>12</v>
      </c>
      <c r="N27" s="10">
        <v>12</v>
      </c>
      <c r="O27" s="10">
        <v>12</v>
      </c>
      <c r="P27" s="10">
        <v>12</v>
      </c>
      <c r="Q27" s="10">
        <v>12</v>
      </c>
      <c r="R27" s="10">
        <v>12</v>
      </c>
      <c r="S27" s="10">
        <v>12</v>
      </c>
      <c r="T27" s="10">
        <v>12</v>
      </c>
      <c r="U27" s="10">
        <v>12</v>
      </c>
    </row>
    <row r="28" spans="1:21" s="23" customFormat="1" x14ac:dyDescent="0.25">
      <c r="A28" s="18" t="s">
        <v>71</v>
      </c>
      <c r="B28" s="10">
        <v>1</v>
      </c>
      <c r="C28" s="10">
        <v>1</v>
      </c>
      <c r="D28" s="10">
        <v>1</v>
      </c>
      <c r="E28" s="10">
        <v>1</v>
      </c>
      <c r="F28" s="10">
        <v>1</v>
      </c>
      <c r="G28" s="10">
        <v>1</v>
      </c>
      <c r="H28" s="10">
        <v>1</v>
      </c>
      <c r="I28" s="10">
        <v>1</v>
      </c>
      <c r="J28" s="10">
        <v>1</v>
      </c>
      <c r="K28" s="10">
        <v>1</v>
      </c>
      <c r="L28" s="10">
        <v>1</v>
      </c>
      <c r="M28" s="10">
        <v>1</v>
      </c>
      <c r="N28" s="10">
        <v>1</v>
      </c>
      <c r="O28" s="10">
        <v>1</v>
      </c>
      <c r="P28" s="10">
        <v>1</v>
      </c>
      <c r="Q28" s="10">
        <v>1</v>
      </c>
      <c r="R28" s="10">
        <v>1</v>
      </c>
      <c r="S28" s="10">
        <v>1</v>
      </c>
      <c r="T28" s="10">
        <v>1</v>
      </c>
      <c r="U28" s="10">
        <v>1</v>
      </c>
    </row>
    <row r="29" spans="1:21" s="23" customFormat="1" x14ac:dyDescent="0.25">
      <c r="A29" s="18" t="s">
        <v>72</v>
      </c>
      <c r="B29" s="10">
        <v>12</v>
      </c>
      <c r="C29" s="10">
        <v>12</v>
      </c>
      <c r="D29" s="10">
        <v>12</v>
      </c>
      <c r="E29" s="10">
        <v>12</v>
      </c>
      <c r="F29" s="10">
        <v>12</v>
      </c>
      <c r="G29" s="10">
        <v>12</v>
      </c>
      <c r="H29" s="10">
        <v>12</v>
      </c>
      <c r="I29" s="10">
        <v>12</v>
      </c>
      <c r="J29" s="10">
        <v>12</v>
      </c>
      <c r="K29" s="10">
        <v>12</v>
      </c>
      <c r="L29" s="10">
        <v>12</v>
      </c>
      <c r="M29" s="10">
        <v>12</v>
      </c>
      <c r="N29" s="10">
        <v>12</v>
      </c>
      <c r="O29" s="10">
        <v>12</v>
      </c>
      <c r="P29" s="10">
        <v>12</v>
      </c>
      <c r="Q29" s="10">
        <v>12</v>
      </c>
      <c r="R29" s="10">
        <v>12</v>
      </c>
      <c r="S29" s="10">
        <v>12</v>
      </c>
      <c r="T29" s="10">
        <v>12</v>
      </c>
      <c r="U29" s="10">
        <v>12</v>
      </c>
    </row>
    <row r="30" spans="1:21" s="23" customFormat="1" x14ac:dyDescent="0.25">
      <c r="A30" s="18" t="s">
        <v>73</v>
      </c>
      <c r="B30" s="10">
        <v>56</v>
      </c>
      <c r="C30" s="10">
        <v>56</v>
      </c>
      <c r="D30" s="10">
        <v>56</v>
      </c>
      <c r="E30" s="10">
        <v>56</v>
      </c>
      <c r="F30" s="10">
        <v>56</v>
      </c>
      <c r="G30" s="10">
        <v>56</v>
      </c>
      <c r="H30" s="10">
        <v>56</v>
      </c>
      <c r="I30" s="10">
        <v>56</v>
      </c>
      <c r="J30" s="10">
        <v>56</v>
      </c>
      <c r="K30" s="10">
        <v>56</v>
      </c>
      <c r="L30" s="10">
        <v>56</v>
      </c>
      <c r="M30" s="10">
        <v>56</v>
      </c>
      <c r="N30" s="10">
        <v>56</v>
      </c>
      <c r="O30" s="10">
        <v>56</v>
      </c>
      <c r="P30" s="10">
        <v>56</v>
      </c>
      <c r="Q30" s="10">
        <v>56</v>
      </c>
      <c r="R30" s="10">
        <v>56</v>
      </c>
      <c r="S30" s="10">
        <v>56</v>
      </c>
      <c r="T30" s="10">
        <v>56</v>
      </c>
      <c r="U30" s="10">
        <v>56</v>
      </c>
    </row>
    <row r="31" spans="1:21" s="23" customFormat="1" x14ac:dyDescent="0.25">
      <c r="A31" s="18" t="s">
        <v>74</v>
      </c>
      <c r="B31" s="10">
        <v>769</v>
      </c>
      <c r="C31" s="10">
        <v>769</v>
      </c>
      <c r="D31" s="10">
        <v>769</v>
      </c>
      <c r="E31" s="10">
        <v>769</v>
      </c>
      <c r="F31" s="10">
        <v>769</v>
      </c>
      <c r="G31" s="10">
        <v>769</v>
      </c>
      <c r="H31" s="10">
        <v>769</v>
      </c>
      <c r="I31" s="10">
        <v>769</v>
      </c>
      <c r="J31" s="10">
        <v>769</v>
      </c>
      <c r="K31" s="10">
        <v>769</v>
      </c>
      <c r="L31" s="10">
        <v>769</v>
      </c>
      <c r="M31" s="10">
        <v>769</v>
      </c>
      <c r="N31" s="10">
        <v>769</v>
      </c>
      <c r="O31" s="10">
        <v>769</v>
      </c>
      <c r="P31" s="10">
        <v>769</v>
      </c>
      <c r="Q31" s="10">
        <v>769</v>
      </c>
      <c r="R31" s="10">
        <v>769</v>
      </c>
      <c r="S31" s="10">
        <v>769</v>
      </c>
      <c r="T31" s="10">
        <v>769</v>
      </c>
      <c r="U31" s="10">
        <v>769</v>
      </c>
    </row>
    <row r="32" spans="1:21" s="23" customFormat="1" x14ac:dyDescent="0.25">
      <c r="A32" s="53" t="s">
        <v>24</v>
      </c>
      <c r="B32" s="11" t="s">
        <v>150</v>
      </c>
      <c r="C32" s="11" t="s">
        <v>151</v>
      </c>
      <c r="D32" s="11" t="s">
        <v>152</v>
      </c>
      <c r="E32" s="11" t="s">
        <v>153</v>
      </c>
      <c r="F32" s="11" t="s">
        <v>154</v>
      </c>
      <c r="G32" s="11" t="s">
        <v>155</v>
      </c>
      <c r="H32" s="11" t="s">
        <v>156</v>
      </c>
      <c r="I32" s="11" t="s">
        <v>157</v>
      </c>
      <c r="J32" s="11" t="s">
        <v>158</v>
      </c>
      <c r="K32" s="11" t="s">
        <v>159</v>
      </c>
      <c r="L32" s="11" t="s">
        <v>160</v>
      </c>
      <c r="M32" s="11" t="s">
        <v>161</v>
      </c>
      <c r="N32" s="11" t="s">
        <v>162</v>
      </c>
      <c r="O32" s="11" t="s">
        <v>164</v>
      </c>
      <c r="P32" s="11" t="s">
        <v>163</v>
      </c>
      <c r="Q32" s="11" t="s">
        <v>165</v>
      </c>
      <c r="R32" s="11" t="s">
        <v>166</v>
      </c>
      <c r="S32" s="11" t="s">
        <v>167</v>
      </c>
      <c r="T32" s="11" t="s">
        <v>168</v>
      </c>
      <c r="U32" s="11" t="s">
        <v>169</v>
      </c>
    </row>
    <row r="33" spans="1:35" s="23" customFormat="1" x14ac:dyDescent="0.25">
      <c r="A33" s="53" t="s">
        <v>22</v>
      </c>
      <c r="B33" s="11" t="s">
        <v>23</v>
      </c>
      <c r="C33" s="11" t="s">
        <v>23</v>
      </c>
      <c r="D33" s="11" t="s">
        <v>23</v>
      </c>
      <c r="E33" s="11" t="s">
        <v>23</v>
      </c>
      <c r="F33" s="11" t="s">
        <v>23</v>
      </c>
      <c r="G33" s="11" t="s">
        <v>23</v>
      </c>
      <c r="H33" s="11" t="s">
        <v>23</v>
      </c>
      <c r="I33" s="11" t="s">
        <v>23</v>
      </c>
      <c r="J33" s="11" t="s">
        <v>23</v>
      </c>
      <c r="K33" s="11" t="s">
        <v>23</v>
      </c>
      <c r="L33" s="11" t="s">
        <v>23</v>
      </c>
      <c r="M33" s="11" t="s">
        <v>23</v>
      </c>
      <c r="N33" s="11" t="s">
        <v>23</v>
      </c>
      <c r="O33" s="11" t="s">
        <v>23</v>
      </c>
      <c r="P33" s="11" t="s">
        <v>23</v>
      </c>
      <c r="Q33" s="11" t="s">
        <v>23</v>
      </c>
      <c r="R33" s="11" t="s">
        <v>23</v>
      </c>
      <c r="S33" s="11" t="s">
        <v>23</v>
      </c>
      <c r="T33" s="11" t="s">
        <v>23</v>
      </c>
      <c r="U33" s="11" t="s">
        <v>23</v>
      </c>
    </row>
    <row r="34" spans="1:35" s="28" customFormat="1" x14ac:dyDescent="0.25">
      <c r="A34" s="54" t="s">
        <v>18</v>
      </c>
      <c r="B34" s="43" t="s">
        <v>20</v>
      </c>
      <c r="C34" s="43" t="s">
        <v>96</v>
      </c>
      <c r="D34" s="43" t="s">
        <v>133</v>
      </c>
      <c r="E34" s="43" t="s">
        <v>134</v>
      </c>
      <c r="F34" s="43" t="s">
        <v>135</v>
      </c>
      <c r="G34" s="43" t="s">
        <v>136</v>
      </c>
      <c r="H34" s="43" t="s">
        <v>21</v>
      </c>
      <c r="I34" s="43" t="s">
        <v>97</v>
      </c>
      <c r="J34" s="43" t="s">
        <v>137</v>
      </c>
      <c r="K34" s="43" t="s">
        <v>179</v>
      </c>
      <c r="L34" s="43" t="s">
        <v>138</v>
      </c>
      <c r="M34" s="43" t="s">
        <v>170</v>
      </c>
      <c r="N34" s="43" t="s">
        <v>171</v>
      </c>
      <c r="O34" s="43" t="s">
        <v>172</v>
      </c>
      <c r="P34" s="43" t="s">
        <v>173</v>
      </c>
      <c r="Q34" s="43" t="s">
        <v>174</v>
      </c>
      <c r="R34" s="43" t="s">
        <v>175</v>
      </c>
      <c r="S34" s="43" t="s">
        <v>176</v>
      </c>
      <c r="T34" s="43" t="s">
        <v>177</v>
      </c>
      <c r="U34" s="43" t="s">
        <v>178</v>
      </c>
    </row>
    <row r="35" spans="1:35" s="28" customFormat="1" x14ac:dyDescent="0.25">
      <c r="A35" s="54" t="s">
        <v>17</v>
      </c>
      <c r="B35" s="43" t="s">
        <v>181</v>
      </c>
      <c r="C35" s="43" t="s">
        <v>58</v>
      </c>
      <c r="D35" s="43" t="s">
        <v>180</v>
      </c>
      <c r="E35" s="43" t="s">
        <v>182</v>
      </c>
      <c r="F35" s="43" t="s">
        <v>183</v>
      </c>
      <c r="G35" s="43" t="s">
        <v>184</v>
      </c>
      <c r="H35" s="43" t="s">
        <v>185</v>
      </c>
      <c r="I35" s="43" t="s">
        <v>186</v>
      </c>
      <c r="J35" s="43" t="s">
        <v>187</v>
      </c>
      <c r="K35" s="43" t="s">
        <v>179</v>
      </c>
      <c r="L35" s="43" t="s">
        <v>181</v>
      </c>
      <c r="M35" s="43" t="s">
        <v>58</v>
      </c>
      <c r="N35" s="43" t="s">
        <v>180</v>
      </c>
      <c r="O35" s="43" t="s">
        <v>182</v>
      </c>
      <c r="P35" s="43" t="s">
        <v>183</v>
      </c>
      <c r="Q35" s="43" t="s">
        <v>184</v>
      </c>
      <c r="R35" s="43" t="s">
        <v>185</v>
      </c>
      <c r="S35" s="43" t="s">
        <v>186</v>
      </c>
      <c r="T35" s="43" t="s">
        <v>187</v>
      </c>
      <c r="U35" s="43" t="s">
        <v>179</v>
      </c>
    </row>
    <row r="36" spans="1:35" s="28" customFormat="1" x14ac:dyDescent="0.25">
      <c r="A36" s="54" t="s">
        <v>16</v>
      </c>
      <c r="B36" s="43" t="s">
        <v>130</v>
      </c>
      <c r="C36" s="43" t="s">
        <v>130</v>
      </c>
      <c r="D36" s="43" t="s">
        <v>130</v>
      </c>
      <c r="E36" s="43" t="s">
        <v>130</v>
      </c>
      <c r="F36" s="43" t="s">
        <v>130</v>
      </c>
      <c r="G36" s="43" t="s">
        <v>130</v>
      </c>
      <c r="H36" s="43" t="s">
        <v>130</v>
      </c>
      <c r="I36" s="43" t="s">
        <v>130</v>
      </c>
      <c r="J36" s="43" t="s">
        <v>130</v>
      </c>
      <c r="K36" s="43" t="s">
        <v>130</v>
      </c>
      <c r="L36" s="43" t="s">
        <v>188</v>
      </c>
      <c r="M36" s="43" t="s">
        <v>188</v>
      </c>
      <c r="N36" s="43" t="s">
        <v>188</v>
      </c>
      <c r="O36" s="43" t="s">
        <v>188</v>
      </c>
      <c r="P36" s="43" t="s">
        <v>188</v>
      </c>
      <c r="Q36" s="43" t="s">
        <v>188</v>
      </c>
      <c r="R36" s="43" t="s">
        <v>188</v>
      </c>
      <c r="S36" s="43" t="s">
        <v>188</v>
      </c>
      <c r="T36" s="43" t="s">
        <v>188</v>
      </c>
      <c r="U36" s="43" t="s">
        <v>188</v>
      </c>
    </row>
    <row r="37" spans="1:35" s="28" customFormat="1" x14ac:dyDescent="0.25">
      <c r="A37" s="54" t="s">
        <v>80</v>
      </c>
      <c r="B37" s="11" t="s">
        <v>150</v>
      </c>
      <c r="C37" s="11" t="s">
        <v>151</v>
      </c>
      <c r="D37" s="11" t="s">
        <v>152</v>
      </c>
      <c r="E37" s="11" t="s">
        <v>153</v>
      </c>
      <c r="F37" s="11" t="s">
        <v>154</v>
      </c>
      <c r="G37" s="11" t="s">
        <v>155</v>
      </c>
      <c r="H37" s="11" t="s">
        <v>156</v>
      </c>
      <c r="I37" s="11" t="s">
        <v>157</v>
      </c>
      <c r="J37" s="11" t="s">
        <v>158</v>
      </c>
      <c r="K37" s="11" t="s">
        <v>159</v>
      </c>
      <c r="L37" s="11" t="s">
        <v>160</v>
      </c>
      <c r="M37" s="11" t="s">
        <v>161</v>
      </c>
      <c r="N37" s="11" t="s">
        <v>162</v>
      </c>
      <c r="O37" s="11" t="s">
        <v>164</v>
      </c>
      <c r="P37" s="11" t="s">
        <v>163</v>
      </c>
      <c r="Q37" s="11" t="s">
        <v>165</v>
      </c>
      <c r="R37" s="11" t="s">
        <v>166</v>
      </c>
      <c r="S37" s="11" t="s">
        <v>167</v>
      </c>
      <c r="T37" s="11" t="s">
        <v>168</v>
      </c>
      <c r="U37" s="11" t="s">
        <v>169</v>
      </c>
    </row>
    <row r="38" spans="1:35" s="28" customFormat="1" x14ac:dyDescent="0.25">
      <c r="A38" s="54" t="s">
        <v>83</v>
      </c>
      <c r="B38" s="43" t="s">
        <v>20</v>
      </c>
      <c r="C38" s="43" t="s">
        <v>20</v>
      </c>
      <c r="D38" s="43" t="s">
        <v>20</v>
      </c>
      <c r="E38" s="43" t="s">
        <v>20</v>
      </c>
      <c r="F38" s="43" t="s">
        <v>20</v>
      </c>
      <c r="G38" s="43" t="s">
        <v>20</v>
      </c>
      <c r="H38" s="43" t="s">
        <v>20</v>
      </c>
      <c r="I38" s="43" t="s">
        <v>20</v>
      </c>
      <c r="J38" s="43" t="s">
        <v>20</v>
      </c>
      <c r="K38" s="43" t="s">
        <v>20</v>
      </c>
      <c r="L38" s="43" t="s">
        <v>20</v>
      </c>
      <c r="M38" s="43" t="s">
        <v>20</v>
      </c>
      <c r="N38" s="43" t="s">
        <v>20</v>
      </c>
      <c r="O38" s="43" t="s">
        <v>20</v>
      </c>
      <c r="P38" s="43" t="s">
        <v>20</v>
      </c>
      <c r="Q38" s="43" t="s">
        <v>20</v>
      </c>
      <c r="R38" s="43" t="s">
        <v>20</v>
      </c>
      <c r="S38" s="43" t="s">
        <v>20</v>
      </c>
      <c r="T38" s="43" t="s">
        <v>20</v>
      </c>
      <c r="U38" s="43" t="s">
        <v>20</v>
      </c>
    </row>
    <row r="39" spans="1:35" s="23" customFormat="1" x14ac:dyDescent="0.25">
      <c r="A39" s="18" t="s">
        <v>14</v>
      </c>
      <c r="B39" s="11" t="s">
        <v>92</v>
      </c>
      <c r="C39" s="11" t="s">
        <v>92</v>
      </c>
      <c r="D39" s="11" t="s">
        <v>92</v>
      </c>
      <c r="E39" s="11" t="s">
        <v>92</v>
      </c>
      <c r="F39" s="11" t="s">
        <v>92</v>
      </c>
      <c r="G39" s="11" t="s">
        <v>92</v>
      </c>
      <c r="H39" s="11" t="s">
        <v>92</v>
      </c>
      <c r="I39" s="11" t="s">
        <v>92</v>
      </c>
      <c r="J39" s="11" t="s">
        <v>92</v>
      </c>
      <c r="K39" s="11" t="s">
        <v>92</v>
      </c>
      <c r="L39" s="11" t="s">
        <v>92</v>
      </c>
      <c r="M39" s="11" t="s">
        <v>92</v>
      </c>
      <c r="N39" s="11" t="s">
        <v>92</v>
      </c>
      <c r="O39" s="11" t="s">
        <v>92</v>
      </c>
      <c r="P39" s="11" t="s">
        <v>92</v>
      </c>
      <c r="Q39" s="11" t="s">
        <v>92</v>
      </c>
      <c r="R39" s="11" t="s">
        <v>92</v>
      </c>
      <c r="S39" s="11" t="s">
        <v>92</v>
      </c>
      <c r="T39" s="11" t="s">
        <v>92</v>
      </c>
      <c r="U39" s="11" t="s">
        <v>92</v>
      </c>
    </row>
    <row r="40" spans="1:35" x14ac:dyDescent="0.25">
      <c r="A40" s="18" t="s">
        <v>84</v>
      </c>
      <c r="B40" s="43"/>
      <c r="C40" s="43"/>
      <c r="D40" s="43"/>
      <c r="E40" s="43"/>
      <c r="F40" s="43"/>
      <c r="G40" s="43"/>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row>
    <row r="41" spans="1:35" x14ac:dyDescent="0.25">
      <c r="A41" s="18" t="s">
        <v>81</v>
      </c>
      <c r="B41" s="43"/>
      <c r="C41" s="43"/>
      <c r="D41" s="43"/>
      <c r="E41" s="43"/>
      <c r="F41" s="43"/>
      <c r="G41" s="43"/>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row>
    <row r="42" spans="1:35" ht="16.5" customHeight="1" x14ac:dyDescent="0.25">
      <c r="A42" s="18" t="s">
        <v>82</v>
      </c>
      <c r="B42" s="43"/>
      <c r="C42" s="43"/>
      <c r="D42" s="43"/>
      <c r="E42" s="43"/>
      <c r="F42" s="43"/>
      <c r="G42" s="43"/>
      <c r="H42" s="43"/>
      <c r="I42" s="43"/>
      <c r="J42" s="43"/>
      <c r="K42" s="43"/>
      <c r="L42" s="43"/>
      <c r="M42" s="43"/>
      <c r="N42" s="43"/>
      <c r="O42" s="43"/>
      <c r="P42" s="43"/>
      <c r="Q42" s="43"/>
      <c r="R42" s="43"/>
      <c r="S42" s="43"/>
      <c r="T42" s="43"/>
      <c r="U42" s="43"/>
      <c r="V42" s="43"/>
      <c r="W42" s="43"/>
      <c r="X42" s="43"/>
      <c r="Y42" s="43"/>
      <c r="Z42" s="43"/>
      <c r="AA42" s="43"/>
      <c r="AB42" s="43"/>
      <c r="AC42" s="43"/>
      <c r="AD42" s="43"/>
      <c r="AE42" s="43"/>
      <c r="AF42" s="43"/>
      <c r="AG42" s="43"/>
      <c r="AH42" s="43"/>
      <c r="AI42" s="43"/>
    </row>
    <row r="43" spans="1:35" ht="16.5" customHeight="1" x14ac:dyDescent="0.25">
      <c r="A43" s="18" t="s">
        <v>88</v>
      </c>
      <c r="B43" s="8">
        <v>41206</v>
      </c>
      <c r="C43" s="8">
        <v>41206</v>
      </c>
      <c r="D43" s="8">
        <v>41206</v>
      </c>
      <c r="E43" s="8">
        <v>41206</v>
      </c>
      <c r="F43" s="8">
        <v>41206</v>
      </c>
      <c r="G43" s="8">
        <v>41206</v>
      </c>
      <c r="H43" s="8">
        <v>41206</v>
      </c>
      <c r="I43" s="8">
        <v>41206</v>
      </c>
      <c r="J43" s="8">
        <v>41206</v>
      </c>
      <c r="K43" s="8">
        <v>41206</v>
      </c>
      <c r="L43" s="8">
        <v>41206</v>
      </c>
      <c r="M43" s="8">
        <v>41206</v>
      </c>
      <c r="N43" s="8">
        <v>41206</v>
      </c>
      <c r="O43" s="8">
        <v>41206</v>
      </c>
      <c r="P43" s="8">
        <v>41206</v>
      </c>
      <c r="Q43" s="8">
        <v>41206</v>
      </c>
      <c r="R43" s="8">
        <v>41206</v>
      </c>
      <c r="S43" s="8">
        <v>41206</v>
      </c>
      <c r="T43" s="8">
        <v>41206</v>
      </c>
      <c r="U43" s="8">
        <v>41206</v>
      </c>
      <c r="V43" s="43"/>
      <c r="W43" s="43"/>
      <c r="X43" s="43"/>
      <c r="Y43" s="43"/>
      <c r="Z43" s="43"/>
      <c r="AA43" s="43"/>
      <c r="AB43" s="43"/>
      <c r="AC43" s="43"/>
      <c r="AD43" s="43"/>
      <c r="AE43" s="43"/>
      <c r="AF43" s="43"/>
      <c r="AG43" s="43"/>
      <c r="AH43" s="43"/>
      <c r="AI43" s="43"/>
    </row>
    <row r="44" spans="1:35" ht="16.5" customHeight="1" x14ac:dyDescent="0.25">
      <c r="A44" s="18" t="s">
        <v>89</v>
      </c>
      <c r="B44" s="8">
        <v>41206</v>
      </c>
      <c r="C44" s="8">
        <v>41206</v>
      </c>
      <c r="D44" s="8">
        <v>41206</v>
      </c>
      <c r="E44" s="8">
        <v>41206</v>
      </c>
      <c r="F44" s="8">
        <v>41206</v>
      </c>
      <c r="G44" s="8">
        <v>41206</v>
      </c>
      <c r="H44" s="8">
        <v>41206</v>
      </c>
      <c r="I44" s="8">
        <v>41206</v>
      </c>
      <c r="J44" s="8">
        <v>41206</v>
      </c>
      <c r="K44" s="8">
        <v>41206</v>
      </c>
      <c r="L44" s="8">
        <v>41206</v>
      </c>
      <c r="M44" s="8">
        <v>41206</v>
      </c>
      <c r="N44" s="8">
        <v>41206</v>
      </c>
      <c r="O44" s="8">
        <v>41206</v>
      </c>
      <c r="P44" s="8">
        <v>41206</v>
      </c>
      <c r="Q44" s="8">
        <v>41206</v>
      </c>
      <c r="R44" s="8">
        <v>41206</v>
      </c>
      <c r="S44" s="8">
        <v>41206</v>
      </c>
      <c r="T44" s="8">
        <v>41206</v>
      </c>
      <c r="U44" s="8">
        <v>41206</v>
      </c>
      <c r="V44" s="43"/>
      <c r="W44" s="43"/>
      <c r="X44" s="43"/>
      <c r="Y44" s="43"/>
      <c r="Z44" s="43"/>
      <c r="AA44" s="43"/>
      <c r="AB44" s="43"/>
      <c r="AC44" s="43"/>
      <c r="AD44" s="43"/>
      <c r="AE44" s="43"/>
      <c r="AF44" s="43"/>
      <c r="AG44" s="43"/>
      <c r="AH44" s="43"/>
      <c r="AI44" s="43"/>
    </row>
    <row r="45" spans="1:35" ht="16.5" customHeight="1" x14ac:dyDescent="0.25">
      <c r="A45" s="18" t="s">
        <v>90</v>
      </c>
      <c r="B45" s="8" t="s">
        <v>104</v>
      </c>
      <c r="C45" s="8" t="s">
        <v>104</v>
      </c>
      <c r="D45" s="8" t="s">
        <v>104</v>
      </c>
      <c r="E45" s="8" t="s">
        <v>104</v>
      </c>
      <c r="F45" s="8" t="s">
        <v>104</v>
      </c>
      <c r="G45" s="8" t="s">
        <v>104</v>
      </c>
      <c r="H45" s="8" t="s">
        <v>104</v>
      </c>
      <c r="I45" s="8" t="s">
        <v>104</v>
      </c>
      <c r="J45" s="8" t="s">
        <v>104</v>
      </c>
      <c r="K45" s="8" t="s">
        <v>104</v>
      </c>
      <c r="L45" s="8" t="s">
        <v>104</v>
      </c>
      <c r="M45" s="8" t="s">
        <v>104</v>
      </c>
      <c r="N45" s="8" t="s">
        <v>104</v>
      </c>
      <c r="O45" s="8" t="s">
        <v>104</v>
      </c>
      <c r="P45" s="8" t="s">
        <v>104</v>
      </c>
      <c r="Q45" s="8" t="s">
        <v>104</v>
      </c>
      <c r="R45" s="8" t="s">
        <v>104</v>
      </c>
      <c r="S45" s="8" t="s">
        <v>104</v>
      </c>
      <c r="T45" s="8" t="s">
        <v>104</v>
      </c>
      <c r="U45" s="8" t="s">
        <v>104</v>
      </c>
      <c r="V45" s="43"/>
      <c r="W45" s="43"/>
      <c r="X45" s="43"/>
      <c r="Y45" s="43"/>
      <c r="Z45" s="43"/>
      <c r="AA45" s="43"/>
      <c r="AB45" s="43"/>
      <c r="AC45" s="43"/>
      <c r="AD45" s="43"/>
      <c r="AE45" s="43"/>
      <c r="AF45" s="43"/>
      <c r="AG45" s="43"/>
      <c r="AH45" s="43"/>
      <c r="AI45" s="43"/>
    </row>
    <row r="46" spans="1:35" x14ac:dyDescent="0.25">
      <c r="A46"/>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A31" sqref="A31"/>
    </sheetView>
  </sheetViews>
  <sheetFormatPr defaultRowHeight="15" x14ac:dyDescent="0.25"/>
  <cols>
    <col min="1" max="1" width="87.7109375" customWidth="1"/>
    <col min="2" max="2" width="9.140625" style="27" bestFit="1" customWidth="1"/>
    <col min="3" max="3" width="16.85546875" style="27" customWidth="1"/>
    <col min="4" max="4" width="11.140625" style="27" hidden="1" customWidth="1"/>
    <col min="5" max="5" width="17.85546875" style="27" customWidth="1"/>
    <col min="6" max="6" width="12" style="27" hidden="1" customWidth="1"/>
    <col min="8" max="8" width="10.5703125" customWidth="1"/>
    <col min="9" max="9" width="10.7109375" customWidth="1"/>
  </cols>
  <sheetData>
    <row r="1" spans="1:6" x14ac:dyDescent="0.25">
      <c r="A1" t="s">
        <v>38</v>
      </c>
    </row>
    <row r="2" spans="1:6" ht="15.75" x14ac:dyDescent="0.25">
      <c r="C2" s="33" t="s">
        <v>54</v>
      </c>
      <c r="D2" s="33"/>
      <c r="E2" s="33"/>
      <c r="F2" s="33"/>
    </row>
    <row r="3" spans="1:6" x14ac:dyDescent="0.25">
      <c r="A3" t="s">
        <v>39</v>
      </c>
      <c r="B3" s="27" t="s">
        <v>40</v>
      </c>
      <c r="C3" s="32" t="s">
        <v>41</v>
      </c>
      <c r="D3" s="27" t="s">
        <v>42</v>
      </c>
      <c r="E3" s="32" t="s">
        <v>43</v>
      </c>
      <c r="F3" s="27" t="s">
        <v>42</v>
      </c>
    </row>
    <row r="4" spans="1:6" x14ac:dyDescent="0.25">
      <c r="A4" t="s">
        <v>44</v>
      </c>
      <c r="B4" s="27">
        <v>0</v>
      </c>
      <c r="C4" s="28">
        <v>0</v>
      </c>
      <c r="D4" s="27">
        <f>C4*POWER(2,$B4)</f>
        <v>0</v>
      </c>
      <c r="E4" s="28">
        <v>0</v>
      </c>
      <c r="F4" s="27">
        <f t="shared" ref="F4:F9" si="0">E4*POWER(2,$B4)</f>
        <v>0</v>
      </c>
    </row>
    <row r="5" spans="1:6" x14ac:dyDescent="0.25">
      <c r="A5" t="s">
        <v>45</v>
      </c>
      <c r="B5" s="27">
        <v>12</v>
      </c>
      <c r="C5" s="28">
        <v>2</v>
      </c>
      <c r="D5" s="27">
        <f t="shared" ref="D5:D9" si="1">C5*POWER(2,$B5)</f>
        <v>8192</v>
      </c>
      <c r="E5" s="28" t="s">
        <v>58</v>
      </c>
      <c r="F5" s="27">
        <f t="shared" si="0"/>
        <v>8192</v>
      </c>
    </row>
    <row r="6" spans="1:6" x14ac:dyDescent="0.25">
      <c r="A6" t="s">
        <v>46</v>
      </c>
      <c r="B6" s="27">
        <v>17</v>
      </c>
      <c r="C6" s="28">
        <v>7</v>
      </c>
      <c r="D6" s="27">
        <f t="shared" si="1"/>
        <v>917504</v>
      </c>
      <c r="E6" s="28">
        <v>7</v>
      </c>
      <c r="F6" s="27">
        <f t="shared" si="0"/>
        <v>917504</v>
      </c>
    </row>
    <row r="7" spans="1:6" x14ac:dyDescent="0.25">
      <c r="A7" t="s">
        <v>47</v>
      </c>
      <c r="B7" s="27">
        <v>20</v>
      </c>
      <c r="C7" s="28">
        <v>0</v>
      </c>
      <c r="D7" s="27">
        <f t="shared" si="1"/>
        <v>0</v>
      </c>
      <c r="E7" s="28">
        <v>0</v>
      </c>
      <c r="F7" s="27">
        <f t="shared" si="0"/>
        <v>0</v>
      </c>
    </row>
    <row r="8" spans="1:6" ht="135" x14ac:dyDescent="0.25">
      <c r="A8" s="2" t="s">
        <v>48</v>
      </c>
      <c r="B8" s="27">
        <v>25</v>
      </c>
      <c r="C8" s="28">
        <v>3</v>
      </c>
      <c r="D8" s="27">
        <f t="shared" si="1"/>
        <v>100663296</v>
      </c>
      <c r="E8" s="28">
        <v>2</v>
      </c>
      <c r="F8" s="27">
        <f t="shared" si="0"/>
        <v>67108864</v>
      </c>
    </row>
    <row r="9" spans="1:6" x14ac:dyDescent="0.25">
      <c r="A9" t="s">
        <v>49</v>
      </c>
      <c r="B9" s="27">
        <v>28</v>
      </c>
      <c r="C9" s="28">
        <v>3</v>
      </c>
      <c r="D9" s="27">
        <f t="shared" si="1"/>
        <v>805306368</v>
      </c>
      <c r="E9" s="28">
        <v>11</v>
      </c>
      <c r="F9" s="27">
        <f t="shared" si="0"/>
        <v>2952790016</v>
      </c>
    </row>
    <row r="10" spans="1:6" x14ac:dyDescent="0.25">
      <c r="A10" t="s">
        <v>2</v>
      </c>
      <c r="D10" s="27">
        <f>SUM(D4:D9)</f>
        <v>906895360</v>
      </c>
      <c r="F10" s="27">
        <f>SUM(F4:F9)</f>
        <v>3020824576</v>
      </c>
    </row>
    <row r="11" spans="1:6" x14ac:dyDescent="0.25">
      <c r="A11" t="s">
        <v>55</v>
      </c>
      <c r="C11" s="29" t="str">
        <f>DEC2HEX(D10)</f>
        <v>360E2000</v>
      </c>
      <c r="E11" s="29" t="str">
        <f>DEC2HEX(F10)</f>
        <v>B40E2000</v>
      </c>
    </row>
    <row r="20" spans="1:5" x14ac:dyDescent="0.25">
      <c r="A20" s="45" t="s">
        <v>87</v>
      </c>
      <c r="B20" s="32"/>
      <c r="C20" s="32"/>
      <c r="D20" s="32"/>
      <c r="E20" s="32"/>
    </row>
    <row r="21" spans="1:5" x14ac:dyDescent="0.25">
      <c r="A21" s="44" t="s">
        <v>85</v>
      </c>
      <c r="C21" s="46">
        <f>1376884800+2678400</f>
        <v>1379563200</v>
      </c>
      <c r="E21" s="48">
        <f>(C21)/(60*60*24)+"1/1/1970"</f>
        <v>41536.166666666664</v>
      </c>
    </row>
    <row r="22" spans="1:5" x14ac:dyDescent="0.25">
      <c r="A22" s="44" t="s">
        <v>86</v>
      </c>
      <c r="C22" s="47">
        <v>40853.083333333336</v>
      </c>
      <c r="E22" s="49">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10</v>
      </c>
      <c r="B1" s="16">
        <f>G44</f>
        <v>93093</v>
      </c>
    </row>
    <row r="2" spans="1:5" x14ac:dyDescent="0.25">
      <c r="A2" s="2" t="s">
        <v>8</v>
      </c>
      <c r="B2" s="16">
        <f>H44</f>
        <v>116064</v>
      </c>
    </row>
    <row r="3" spans="1:5" x14ac:dyDescent="0.25">
      <c r="A3" s="2" t="s">
        <v>9</v>
      </c>
      <c r="B3" s="16">
        <f>5*B1+2*B2</f>
        <v>697593</v>
      </c>
    </row>
    <row r="4" spans="1:5" x14ac:dyDescent="0.25">
      <c r="A4" s="2" t="s">
        <v>12</v>
      </c>
      <c r="B4" s="13">
        <f>I44/100000</f>
        <v>11.352510000000001</v>
      </c>
      <c r="C4" s="1"/>
      <c r="D4" s="1"/>
      <c r="E4" s="1"/>
    </row>
    <row r="5" spans="1:5" x14ac:dyDescent="0.25">
      <c r="A5" s="2" t="s">
        <v>13</v>
      </c>
      <c r="B5" s="13">
        <f>J44/100000</f>
        <v>9.1037700000000008</v>
      </c>
      <c r="C5" s="1"/>
      <c r="D5" s="1"/>
      <c r="E5" s="1"/>
    </row>
    <row r="6" spans="1:5" x14ac:dyDescent="0.25">
      <c r="A6" s="2" t="s">
        <v>77</v>
      </c>
      <c r="B6" s="13">
        <f>(5*B4 + 2*B5)</f>
        <v>74.970089999999999</v>
      </c>
      <c r="C6" s="1"/>
      <c r="D6" s="1"/>
      <c r="E6" s="1"/>
    </row>
    <row r="7" spans="1:5" x14ac:dyDescent="0.25">
      <c r="A7" s="2" t="s">
        <v>76</v>
      </c>
      <c r="B7" s="13">
        <f>4*B6</f>
        <v>299.88036</v>
      </c>
      <c r="C7" s="1"/>
      <c r="D7" s="1"/>
      <c r="E7" s="1"/>
    </row>
    <row r="8" spans="1:5" x14ac:dyDescent="0.25">
      <c r="A8" s="2" t="s">
        <v>78</v>
      </c>
      <c r="B8" s="17">
        <f>4*B3</f>
        <v>2790372</v>
      </c>
      <c r="C8" s="1"/>
      <c r="D8" s="1"/>
      <c r="E8" s="1"/>
    </row>
    <row r="9" spans="1:5" x14ac:dyDescent="0.25">
      <c r="A9" s="2" t="s">
        <v>4</v>
      </c>
      <c r="B9" s="17">
        <f>B44</f>
        <v>77</v>
      </c>
    </row>
    <row r="10" spans="1:5" x14ac:dyDescent="0.25">
      <c r="A10" s="2" t="s">
        <v>5</v>
      </c>
      <c r="B10" s="17">
        <f>C44</f>
        <v>96</v>
      </c>
    </row>
    <row r="11" spans="1:5" x14ac:dyDescent="0.25">
      <c r="A11" s="2" t="s">
        <v>63</v>
      </c>
      <c r="B11" s="17">
        <f>B$13/(4*(5*B44+2*C44))</f>
        <v>1208.838821490468</v>
      </c>
      <c r="C11" s="36"/>
    </row>
    <row r="12" spans="1:5" x14ac:dyDescent="0.25">
      <c r="A12" s="37" t="s">
        <v>75</v>
      </c>
      <c r="B12" s="38">
        <v>0</v>
      </c>
      <c r="C12" s="39"/>
    </row>
    <row r="13" spans="1:5" x14ac:dyDescent="0.25">
      <c r="A13" s="37" t="s">
        <v>25</v>
      </c>
      <c r="B13" s="38">
        <v>2790000</v>
      </c>
      <c r="C13" s="39"/>
    </row>
    <row r="14" spans="1:5" x14ac:dyDescent="0.25">
      <c r="A14" s="37" t="s">
        <v>61</v>
      </c>
      <c r="B14" s="42">
        <v>3.0000000000000001E-5</v>
      </c>
      <c r="C14" s="39"/>
    </row>
    <row r="15" spans="1:5" x14ac:dyDescent="0.25">
      <c r="A15" s="37" t="s">
        <v>19</v>
      </c>
      <c r="B15" s="40">
        <v>40982</v>
      </c>
      <c r="C15" s="39"/>
    </row>
    <row r="16" spans="1:5" x14ac:dyDescent="0.25">
      <c r="A16" s="2"/>
      <c r="B16" s="2"/>
    </row>
    <row r="17" spans="1:10" x14ac:dyDescent="0.25">
      <c r="A17" s="12" t="s">
        <v>15</v>
      </c>
      <c r="B17" s="12"/>
      <c r="C17" s="6"/>
      <c r="D17" s="6"/>
      <c r="E17" s="6"/>
      <c r="F17" s="6"/>
      <c r="G17" s="6"/>
      <c r="H17" s="6"/>
      <c r="I17" s="6"/>
      <c r="J17" s="6"/>
    </row>
    <row r="18" spans="1:10" x14ac:dyDescent="0.25">
      <c r="A18" s="2"/>
      <c r="B18" s="2" t="s">
        <v>79</v>
      </c>
      <c r="D18" t="s">
        <v>6</v>
      </c>
      <c r="G18" t="s">
        <v>7</v>
      </c>
      <c r="I18" t="s">
        <v>3</v>
      </c>
    </row>
    <row r="19" spans="1:10" ht="30" x14ac:dyDescent="0.25">
      <c r="A19" s="2" t="s">
        <v>37</v>
      </c>
      <c r="B19" s="2" t="s">
        <v>0</v>
      </c>
      <c r="C19" t="s">
        <v>1</v>
      </c>
      <c r="D19" t="s">
        <v>0</v>
      </c>
      <c r="E19" t="s">
        <v>1</v>
      </c>
      <c r="G19" t="s">
        <v>0</v>
      </c>
      <c r="H19" t="s">
        <v>1</v>
      </c>
      <c r="I19" t="s">
        <v>0</v>
      </c>
      <c r="J19" t="s">
        <v>1</v>
      </c>
    </row>
    <row r="20" spans="1:10" x14ac:dyDescent="0.25">
      <c r="A20" s="14">
        <v>0</v>
      </c>
      <c r="B20" s="15">
        <v>1</v>
      </c>
      <c r="C20" s="3">
        <v>1</v>
      </c>
      <c r="D20" s="3">
        <v>1</v>
      </c>
      <c r="E20" s="3">
        <v>1</v>
      </c>
      <c r="F20" s="1"/>
      <c r="G20" s="1">
        <f>CEILING($B$11*B20,1)</f>
        <v>1209</v>
      </c>
      <c r="H20" s="1">
        <f>CEILING($B$11*C20,1)</f>
        <v>1209</v>
      </c>
      <c r="I20" s="1">
        <f>INT(G20*D20*$B$14*100000)</f>
        <v>3627</v>
      </c>
      <c r="J20" s="1">
        <f>INT(H20*E20*$B$14*100000)</f>
        <v>3627</v>
      </c>
    </row>
    <row r="21" spans="1:10" x14ac:dyDescent="0.25">
      <c r="A21" s="14">
        <v>4.1666666666666664E-2</v>
      </c>
      <c r="B21" s="15">
        <v>1</v>
      </c>
      <c r="C21" s="3">
        <v>1</v>
      </c>
      <c r="D21" s="3">
        <v>1</v>
      </c>
      <c r="E21" s="3">
        <v>1</v>
      </c>
      <c r="F21" s="1"/>
      <c r="G21" s="1">
        <f t="shared" ref="G21:G43" si="0">CEILING($B$11*B21,1)</f>
        <v>1209</v>
      </c>
      <c r="H21" s="1">
        <f t="shared" ref="H21:H43" si="1">CEILING($B$11*C21,1)</f>
        <v>1209</v>
      </c>
      <c r="I21" s="1">
        <f t="shared" ref="I21:I43" si="2">INT(G21*D21*$B$14*100000)</f>
        <v>3627</v>
      </c>
      <c r="J21" s="1">
        <f t="shared" ref="J21:J43" si="3">INT(H21*E21*$B$14*100000)</f>
        <v>3627</v>
      </c>
    </row>
    <row r="22" spans="1:10" x14ac:dyDescent="0.25">
      <c r="A22" s="14">
        <v>8.3333333333333329E-2</v>
      </c>
      <c r="B22" s="15">
        <v>1</v>
      </c>
      <c r="C22" s="3">
        <v>1</v>
      </c>
      <c r="D22" s="3">
        <v>1</v>
      </c>
      <c r="E22" s="3">
        <v>1</v>
      </c>
      <c r="F22" s="1"/>
      <c r="G22" s="1">
        <f t="shared" si="0"/>
        <v>1209</v>
      </c>
      <c r="H22" s="1">
        <f t="shared" si="1"/>
        <v>1209</v>
      </c>
      <c r="I22" s="1">
        <f t="shared" si="2"/>
        <v>3627</v>
      </c>
      <c r="J22" s="1">
        <f t="shared" si="3"/>
        <v>3627</v>
      </c>
    </row>
    <row r="23" spans="1:10" x14ac:dyDescent="0.25">
      <c r="A23" s="14">
        <v>0.125</v>
      </c>
      <c r="B23" s="15">
        <v>1</v>
      </c>
      <c r="C23" s="3">
        <v>1</v>
      </c>
      <c r="D23" s="3">
        <v>1</v>
      </c>
      <c r="E23" s="3">
        <v>1</v>
      </c>
      <c r="F23" s="1"/>
      <c r="G23" s="1">
        <f t="shared" si="0"/>
        <v>1209</v>
      </c>
      <c r="H23" s="1">
        <f t="shared" si="1"/>
        <v>1209</v>
      </c>
      <c r="I23" s="1">
        <f t="shared" si="2"/>
        <v>3627</v>
      </c>
      <c r="J23" s="1">
        <f t="shared" si="3"/>
        <v>3627</v>
      </c>
    </row>
    <row r="24" spans="1:10" x14ac:dyDescent="0.25">
      <c r="A24" s="14">
        <v>0.16666666666666666</v>
      </c>
      <c r="B24" s="15">
        <v>1</v>
      </c>
      <c r="C24" s="3">
        <v>1</v>
      </c>
      <c r="D24" s="3">
        <v>1</v>
      </c>
      <c r="E24" s="3">
        <v>1</v>
      </c>
      <c r="F24" s="1"/>
      <c r="G24" s="1">
        <f t="shared" si="0"/>
        <v>1209</v>
      </c>
      <c r="H24" s="1">
        <f t="shared" si="1"/>
        <v>1209</v>
      </c>
      <c r="I24" s="1">
        <f t="shared" si="2"/>
        <v>3627</v>
      </c>
      <c r="J24" s="1">
        <f t="shared" si="3"/>
        <v>3627</v>
      </c>
    </row>
    <row r="25" spans="1:10" x14ac:dyDescent="0.25">
      <c r="A25" s="14">
        <v>0.20833333333333334</v>
      </c>
      <c r="B25" s="15">
        <v>3</v>
      </c>
      <c r="C25" s="3">
        <v>3</v>
      </c>
      <c r="D25" s="3">
        <v>1</v>
      </c>
      <c r="E25" s="3">
        <v>1</v>
      </c>
      <c r="F25" s="1"/>
      <c r="G25" s="1">
        <f t="shared" si="0"/>
        <v>3627</v>
      </c>
      <c r="H25" s="1">
        <f t="shared" si="1"/>
        <v>3627</v>
      </c>
      <c r="I25" s="1">
        <f t="shared" si="2"/>
        <v>10881</v>
      </c>
      <c r="J25" s="1">
        <f t="shared" si="3"/>
        <v>10881</v>
      </c>
    </row>
    <row r="26" spans="1:10" x14ac:dyDescent="0.25">
      <c r="A26" s="14">
        <v>0.25</v>
      </c>
      <c r="B26" s="15">
        <v>5</v>
      </c>
      <c r="C26" s="3">
        <v>5</v>
      </c>
      <c r="D26" s="3">
        <v>2</v>
      </c>
      <c r="E26" s="3">
        <v>2</v>
      </c>
      <c r="F26" s="1"/>
      <c r="G26" s="1">
        <f t="shared" si="0"/>
        <v>6045</v>
      </c>
      <c r="H26" s="1">
        <f t="shared" si="1"/>
        <v>6045</v>
      </c>
      <c r="I26" s="1">
        <f t="shared" si="2"/>
        <v>36270</v>
      </c>
      <c r="J26" s="1">
        <f t="shared" si="3"/>
        <v>36270</v>
      </c>
    </row>
    <row r="27" spans="1:10" x14ac:dyDescent="0.25">
      <c r="A27" s="14">
        <v>0.29166666666666669</v>
      </c>
      <c r="B27" s="15">
        <v>5</v>
      </c>
      <c r="C27" s="3">
        <v>5</v>
      </c>
      <c r="D27" s="3">
        <v>2</v>
      </c>
      <c r="E27" s="3">
        <v>2</v>
      </c>
      <c r="F27" s="1"/>
      <c r="G27" s="1">
        <f t="shared" si="0"/>
        <v>6045</v>
      </c>
      <c r="H27" s="1">
        <f t="shared" si="1"/>
        <v>6045</v>
      </c>
      <c r="I27" s="1">
        <f t="shared" si="2"/>
        <v>36270</v>
      </c>
      <c r="J27" s="1">
        <f t="shared" si="3"/>
        <v>36270</v>
      </c>
    </row>
    <row r="28" spans="1:10" x14ac:dyDescent="0.25">
      <c r="A28" s="14">
        <v>0.33333333333333331</v>
      </c>
      <c r="B28" s="15">
        <v>5</v>
      </c>
      <c r="C28" s="3">
        <v>5</v>
      </c>
      <c r="D28" s="3">
        <v>2</v>
      </c>
      <c r="E28" s="3">
        <v>2</v>
      </c>
      <c r="F28" s="1"/>
      <c r="G28" s="1">
        <f t="shared" si="0"/>
        <v>6045</v>
      </c>
      <c r="H28" s="1">
        <f t="shared" si="1"/>
        <v>6045</v>
      </c>
      <c r="I28" s="1">
        <f t="shared" si="2"/>
        <v>36270</v>
      </c>
      <c r="J28" s="1">
        <f t="shared" si="3"/>
        <v>36270</v>
      </c>
    </row>
    <row r="29" spans="1:10" x14ac:dyDescent="0.25">
      <c r="A29" s="14">
        <v>0.375</v>
      </c>
      <c r="B29" s="15">
        <v>5</v>
      </c>
      <c r="C29" s="3">
        <v>5</v>
      </c>
      <c r="D29" s="3">
        <v>2</v>
      </c>
      <c r="E29" s="3">
        <v>2</v>
      </c>
      <c r="F29" s="1"/>
      <c r="G29" s="1">
        <f t="shared" si="0"/>
        <v>6045</v>
      </c>
      <c r="H29" s="1">
        <f t="shared" si="1"/>
        <v>6045</v>
      </c>
      <c r="I29" s="1">
        <f t="shared" si="2"/>
        <v>36270</v>
      </c>
      <c r="J29" s="1">
        <f t="shared" si="3"/>
        <v>36270</v>
      </c>
    </row>
    <row r="30" spans="1:10" x14ac:dyDescent="0.25">
      <c r="A30" s="14">
        <v>0.41666666666666669</v>
      </c>
      <c r="B30" s="15">
        <v>3</v>
      </c>
      <c r="C30" s="3">
        <v>5</v>
      </c>
      <c r="D30" s="3">
        <v>2</v>
      </c>
      <c r="E30" s="3">
        <v>2</v>
      </c>
      <c r="F30" s="1"/>
      <c r="G30" s="1">
        <f t="shared" si="0"/>
        <v>3627</v>
      </c>
      <c r="H30" s="1">
        <f t="shared" si="1"/>
        <v>6045</v>
      </c>
      <c r="I30" s="1">
        <f t="shared" si="2"/>
        <v>21762</v>
      </c>
      <c r="J30" s="1">
        <f t="shared" si="3"/>
        <v>36270</v>
      </c>
    </row>
    <row r="31" spans="1:10" x14ac:dyDescent="0.25">
      <c r="A31" s="14">
        <v>0.45833333333333331</v>
      </c>
      <c r="B31" s="15">
        <v>3</v>
      </c>
      <c r="C31" s="3">
        <v>5</v>
      </c>
      <c r="D31" s="3">
        <v>2</v>
      </c>
      <c r="E31" s="3">
        <v>2</v>
      </c>
      <c r="F31" s="1"/>
      <c r="G31" s="1">
        <f t="shared" si="0"/>
        <v>3627</v>
      </c>
      <c r="H31" s="1">
        <f t="shared" si="1"/>
        <v>6045</v>
      </c>
      <c r="I31" s="1">
        <f t="shared" si="2"/>
        <v>21762</v>
      </c>
      <c r="J31" s="1">
        <f t="shared" si="3"/>
        <v>36270</v>
      </c>
    </row>
    <row r="32" spans="1:10" x14ac:dyDescent="0.25">
      <c r="A32" s="14">
        <v>0.5</v>
      </c>
      <c r="B32" s="15">
        <v>3</v>
      </c>
      <c r="C32" s="3">
        <v>5</v>
      </c>
      <c r="D32" s="3">
        <v>2</v>
      </c>
      <c r="E32" s="3">
        <v>2</v>
      </c>
      <c r="F32" s="1"/>
      <c r="G32" s="1">
        <f t="shared" si="0"/>
        <v>3627</v>
      </c>
      <c r="H32" s="1">
        <f t="shared" si="1"/>
        <v>6045</v>
      </c>
      <c r="I32" s="1">
        <f t="shared" si="2"/>
        <v>21762</v>
      </c>
      <c r="J32" s="1">
        <f t="shared" si="3"/>
        <v>36270</v>
      </c>
    </row>
    <row r="33" spans="1:10" x14ac:dyDescent="0.25">
      <c r="A33" s="14">
        <v>0.54166666666666663</v>
      </c>
      <c r="B33" s="15">
        <v>3</v>
      </c>
      <c r="C33" s="3">
        <v>5</v>
      </c>
      <c r="D33" s="3">
        <v>2</v>
      </c>
      <c r="E33" s="3">
        <v>2</v>
      </c>
      <c r="F33" s="1"/>
      <c r="G33" s="1">
        <f t="shared" si="0"/>
        <v>3627</v>
      </c>
      <c r="H33" s="1">
        <f t="shared" si="1"/>
        <v>6045</v>
      </c>
      <c r="I33" s="1">
        <f t="shared" si="2"/>
        <v>21762</v>
      </c>
      <c r="J33" s="1">
        <f t="shared" si="3"/>
        <v>36270</v>
      </c>
    </row>
    <row r="34" spans="1:10" x14ac:dyDescent="0.25">
      <c r="A34" s="14">
        <v>0.58333333333333337</v>
      </c>
      <c r="B34" s="15">
        <v>3</v>
      </c>
      <c r="C34" s="3">
        <v>5</v>
      </c>
      <c r="D34" s="3">
        <v>4</v>
      </c>
      <c r="E34" s="3">
        <v>3</v>
      </c>
      <c r="F34" s="1"/>
      <c r="G34" s="1">
        <f t="shared" si="0"/>
        <v>3627</v>
      </c>
      <c r="H34" s="1">
        <f t="shared" si="1"/>
        <v>6045</v>
      </c>
      <c r="I34" s="1">
        <f t="shared" si="2"/>
        <v>43524</v>
      </c>
      <c r="J34" s="1">
        <f t="shared" si="3"/>
        <v>54405</v>
      </c>
    </row>
    <row r="35" spans="1:10" x14ac:dyDescent="0.25">
      <c r="A35" s="14">
        <v>0.625</v>
      </c>
      <c r="B35" s="15">
        <v>3</v>
      </c>
      <c r="C35" s="3">
        <v>5</v>
      </c>
      <c r="D35" s="3">
        <v>6</v>
      </c>
      <c r="E35" s="3">
        <v>4</v>
      </c>
      <c r="F35" s="1"/>
      <c r="G35" s="1">
        <f t="shared" si="0"/>
        <v>3627</v>
      </c>
      <c r="H35" s="1">
        <f t="shared" si="1"/>
        <v>6045</v>
      </c>
      <c r="I35" s="1">
        <f t="shared" si="2"/>
        <v>65286</v>
      </c>
      <c r="J35" s="1">
        <f t="shared" si="3"/>
        <v>72540</v>
      </c>
    </row>
    <row r="36" spans="1:10" x14ac:dyDescent="0.25">
      <c r="A36" s="14">
        <v>0.66666666666666663</v>
      </c>
      <c r="B36" s="15">
        <v>3</v>
      </c>
      <c r="C36" s="3">
        <v>5</v>
      </c>
      <c r="D36" s="3">
        <v>8</v>
      </c>
      <c r="E36" s="3">
        <v>5</v>
      </c>
      <c r="F36" s="1"/>
      <c r="G36" s="1">
        <f t="shared" si="0"/>
        <v>3627</v>
      </c>
      <c r="H36" s="1">
        <f t="shared" si="1"/>
        <v>6045</v>
      </c>
      <c r="I36" s="1">
        <f t="shared" si="2"/>
        <v>87048</v>
      </c>
      <c r="J36" s="1">
        <f t="shared" si="3"/>
        <v>90675</v>
      </c>
    </row>
    <row r="37" spans="1:10" x14ac:dyDescent="0.25">
      <c r="A37" s="14">
        <v>0.70833333333333337</v>
      </c>
      <c r="B37" s="15">
        <v>4</v>
      </c>
      <c r="C37" s="3">
        <v>5</v>
      </c>
      <c r="D37" s="3">
        <v>10</v>
      </c>
      <c r="E37" s="3">
        <v>5</v>
      </c>
      <c r="F37" s="1"/>
      <c r="G37" s="1">
        <f t="shared" si="0"/>
        <v>4836</v>
      </c>
      <c r="H37" s="1">
        <f t="shared" si="1"/>
        <v>6045</v>
      </c>
      <c r="I37" s="1">
        <f t="shared" si="2"/>
        <v>145080</v>
      </c>
      <c r="J37" s="1">
        <f t="shared" si="3"/>
        <v>90675</v>
      </c>
    </row>
    <row r="38" spans="1:10" x14ac:dyDescent="0.25">
      <c r="A38" s="14">
        <v>0.75</v>
      </c>
      <c r="B38" s="15">
        <v>5</v>
      </c>
      <c r="C38" s="3">
        <v>5</v>
      </c>
      <c r="D38" s="3">
        <v>10</v>
      </c>
      <c r="E38" s="3">
        <v>5</v>
      </c>
      <c r="F38" s="1"/>
      <c r="G38" s="1">
        <f t="shared" si="0"/>
        <v>6045</v>
      </c>
      <c r="H38" s="1">
        <f t="shared" si="1"/>
        <v>6045</v>
      </c>
      <c r="I38" s="1">
        <f t="shared" si="2"/>
        <v>181350</v>
      </c>
      <c r="J38" s="1">
        <f t="shared" si="3"/>
        <v>90675</v>
      </c>
    </row>
    <row r="39" spans="1:10" x14ac:dyDescent="0.25">
      <c r="A39" s="14">
        <v>0.79166666666666663</v>
      </c>
      <c r="B39" s="15">
        <v>5</v>
      </c>
      <c r="C39" s="3">
        <v>5</v>
      </c>
      <c r="D39" s="3">
        <v>8</v>
      </c>
      <c r="E39" s="3">
        <v>4</v>
      </c>
      <c r="F39" s="1"/>
      <c r="G39" s="1">
        <f t="shared" si="0"/>
        <v>6045</v>
      </c>
      <c r="H39" s="1">
        <f t="shared" si="1"/>
        <v>6045</v>
      </c>
      <c r="I39" s="1">
        <f t="shared" si="2"/>
        <v>145080</v>
      </c>
      <c r="J39" s="1">
        <f t="shared" si="3"/>
        <v>72540</v>
      </c>
    </row>
    <row r="40" spans="1:10" x14ac:dyDescent="0.25">
      <c r="A40" s="14">
        <v>0.83333333333333337</v>
      </c>
      <c r="B40" s="15">
        <v>5</v>
      </c>
      <c r="C40" s="3">
        <v>5</v>
      </c>
      <c r="D40" s="3">
        <v>6</v>
      </c>
      <c r="E40" s="3">
        <v>3</v>
      </c>
      <c r="F40" s="1"/>
      <c r="G40" s="1">
        <f t="shared" si="0"/>
        <v>6045</v>
      </c>
      <c r="H40" s="1">
        <f t="shared" si="1"/>
        <v>6045</v>
      </c>
      <c r="I40" s="1">
        <f t="shared" si="2"/>
        <v>108810</v>
      </c>
      <c r="J40" s="1">
        <f t="shared" si="3"/>
        <v>54405</v>
      </c>
    </row>
    <row r="41" spans="1:10" x14ac:dyDescent="0.25">
      <c r="A41" s="14">
        <v>0.875</v>
      </c>
      <c r="B41" s="15">
        <v>5</v>
      </c>
      <c r="C41" s="3">
        <v>5</v>
      </c>
      <c r="D41" s="3">
        <v>4</v>
      </c>
      <c r="E41" s="3">
        <v>2</v>
      </c>
      <c r="F41" s="1"/>
      <c r="G41" s="1">
        <f t="shared" si="0"/>
        <v>6045</v>
      </c>
      <c r="H41" s="1">
        <f t="shared" si="1"/>
        <v>6045</v>
      </c>
      <c r="I41" s="1">
        <f t="shared" si="2"/>
        <v>72540</v>
      </c>
      <c r="J41" s="1">
        <f t="shared" si="3"/>
        <v>36270</v>
      </c>
    </row>
    <row r="42" spans="1:10" x14ac:dyDescent="0.25">
      <c r="A42" s="14">
        <v>0.91666666666666663</v>
      </c>
      <c r="B42" s="15">
        <v>3</v>
      </c>
      <c r="C42" s="3">
        <v>5</v>
      </c>
      <c r="D42" s="3">
        <v>2</v>
      </c>
      <c r="E42" s="3">
        <v>1</v>
      </c>
      <c r="F42" s="1"/>
      <c r="G42" s="1">
        <f t="shared" si="0"/>
        <v>3627</v>
      </c>
      <c r="H42" s="1">
        <f t="shared" si="1"/>
        <v>6045</v>
      </c>
      <c r="I42" s="1">
        <f t="shared" si="2"/>
        <v>21762</v>
      </c>
      <c r="J42" s="1">
        <f t="shared" si="3"/>
        <v>18135</v>
      </c>
    </row>
    <row r="43" spans="1:10" x14ac:dyDescent="0.25">
      <c r="A43" s="14">
        <v>0.95833333333333337</v>
      </c>
      <c r="B43" s="15">
        <v>1</v>
      </c>
      <c r="C43" s="3">
        <v>3</v>
      </c>
      <c r="D43" s="3">
        <v>1</v>
      </c>
      <c r="E43" s="3">
        <v>1</v>
      </c>
      <c r="F43" s="1"/>
      <c r="G43" s="1">
        <f t="shared" si="0"/>
        <v>1209</v>
      </c>
      <c r="H43" s="1">
        <f t="shared" si="1"/>
        <v>3627</v>
      </c>
      <c r="I43" s="1">
        <f t="shared" si="2"/>
        <v>3627</v>
      </c>
      <c r="J43" s="1">
        <f t="shared" si="3"/>
        <v>10881</v>
      </c>
    </row>
    <row r="44" spans="1:10" x14ac:dyDescent="0.25">
      <c r="A44" s="2" t="s">
        <v>2</v>
      </c>
      <c r="B44" s="16">
        <f>SUM(B20:B43)</f>
        <v>77</v>
      </c>
      <c r="C44" s="16">
        <f>SUM(C20:C43)</f>
        <v>96</v>
      </c>
      <c r="D44" s="16">
        <f t="shared" ref="D44:E44" si="4">SUM(D20:D43)</f>
        <v>81</v>
      </c>
      <c r="E44" s="16">
        <f t="shared" si="4"/>
        <v>55</v>
      </c>
      <c r="G44" s="1">
        <f t="shared" ref="G44:H44" si="5">SUM(G20:G43)</f>
        <v>93093</v>
      </c>
      <c r="H44" s="1">
        <f t="shared" si="5"/>
        <v>116064</v>
      </c>
      <c r="I44" s="1">
        <f>SUM(I20:I43)</f>
        <v>1135251</v>
      </c>
      <c r="J44" s="1">
        <f>SUM(J20:J43)</f>
        <v>910377</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41</vt:i4>
      </vt:variant>
    </vt:vector>
  </HeadingPairs>
  <TitlesOfParts>
    <vt:vector size="46" baseType="lpstr">
      <vt:lpstr>Overview</vt:lpstr>
      <vt:lpstr>EUIGenerator</vt:lpstr>
      <vt:lpstr>DSTRuleCalculator</vt:lpstr>
      <vt:lpstr>Weighting1</vt:lpstr>
      <vt:lpstr>Sheet1</vt:lpstr>
      <vt:lpstr>ACCUMULATION_BEHAVIOR</vt:lpstr>
      <vt:lpstr>BATCH_INDEX</vt:lpstr>
      <vt:lpstr>BLOCK_DURATION</vt:lpstr>
      <vt:lpstr>COMMODITY</vt:lpstr>
      <vt:lpstr>CUSTOMER_URL</vt:lpstr>
      <vt:lpstr>DATA_QUALIFIER</vt:lpstr>
      <vt:lpstr>DISABLE_COST</vt:lpstr>
      <vt:lpstr>DST_END_RULE</vt:lpstr>
      <vt:lpstr>DST_OFFSET</vt:lpstr>
      <vt:lpstr>DST_START_RULE</vt:lpstr>
      <vt:lpstr>FLOW_DIRECTION</vt:lpstr>
      <vt:lpstr>INCLUDE_HEADER_COMMENT</vt:lpstr>
      <vt:lpstr>INTERVAL_BLOCK_INDEX</vt:lpstr>
      <vt:lpstr>INTERVAL_DURATION</vt:lpstr>
      <vt:lpstr>KIND</vt:lpstr>
      <vt:lpstr>LOCAL_TIME_INDEX</vt:lpstr>
      <vt:lpstr>LOCAL_TIME_PARAMS_UUID</vt:lpstr>
      <vt:lpstr>METER_READING_INDEX</vt:lpstr>
      <vt:lpstr>METER_READING_TITLE</vt:lpstr>
      <vt:lpstr>METER_READING_UUID</vt:lpstr>
      <vt:lpstr>PHASE</vt:lpstr>
      <vt:lpstr>POWER_OF_TEN_MULTIPLIER</vt:lpstr>
      <vt:lpstr>PUBLISH_DATE</vt:lpstr>
      <vt:lpstr>RANDOM_URN</vt:lpstr>
      <vt:lpstr>RAW_INTERVAL_DATA_MULTIPLIER</vt:lpstr>
      <vt:lpstr>READING_TYPE_INDEX</vt:lpstr>
      <vt:lpstr>READING_TYPE_UUID</vt:lpstr>
      <vt:lpstr>RUN_STATUS</vt:lpstr>
      <vt:lpstr>SERVICE_KIND</vt:lpstr>
      <vt:lpstr>SETTINGS_ID</vt:lpstr>
      <vt:lpstr>TARIFF_MODEL</vt:lpstr>
      <vt:lpstr>TARIFF_MODEL_NAME</vt:lpstr>
      <vt:lpstr>TIME_ATTRIBUTE</vt:lpstr>
      <vt:lpstr>TIMZONE_OFFSET</vt:lpstr>
      <vt:lpstr>TIMZONE_TITLE</vt:lpstr>
      <vt:lpstr>UOM</vt:lpstr>
      <vt:lpstr>UPDATE_DATE</vt:lpstr>
      <vt:lpstr>USAGE_POINT_INDEX</vt:lpstr>
      <vt:lpstr>USAGE_POINT_TITLE</vt:lpstr>
      <vt:lpstr>USAGE_POINT_UUID</vt:lpstr>
      <vt:lpstr>USAGE_SUMMARY_INDEX</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Burns, Martin</cp:lastModifiedBy>
  <dcterms:created xsi:type="dcterms:W3CDTF">2006-09-16T00:00:00Z</dcterms:created>
  <dcterms:modified xsi:type="dcterms:W3CDTF">2015-03-14T15:17:12Z</dcterms:modified>
</cp:coreProperties>
</file>